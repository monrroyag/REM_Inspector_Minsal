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esktop\ESTADISTICA AÑO 2025\REM BM\07\"/>
    </mc:Choice>
  </mc:AlternateContent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0" yWindow="0" windowWidth="33600" windowHeight="21000" tabRatio="765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62913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<sst xmlns="http://schemas.openxmlformats.org/spreadsheetml/2006/main" count="452" uniqueCount="397">
  <si>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</si>
  <si>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</si>
  <si>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</si>
  <si>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</si>
  <si>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</si>
  <si>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</si>
  <si>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</si>
  <si>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</si>
  <si>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</si>
  <si>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</si>
  <si>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</si>
  <si>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</si>
  <si>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</si>
  <si>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</si>
  <si>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</si>
  <si>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</si>
  <si>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</si>
  <si>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</si>
  <si>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</si>
  <si>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</si>
  <si>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</si>
  <si>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</si>
  <si>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</si>
  <si>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</si>
  <si>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</si>
  <si>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</si>
  <si>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</si>
  <si>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</si>
  <si>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</si>
  <si>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</si>
  <si>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</si>
  <si>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</si>
  <si>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</si>
  <si>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</si>
  <si>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</si>
  <si>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</si>
  <si>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</si>
  <si>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</si>
  <si>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</si>
  <si>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</si>
  <si>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</si>
  <si>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</si>
  <si>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</si>
  <si>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</si>
  <si>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</si>
  <si>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</si>
  <si>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</si>
  <si>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</si>
  <si>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</si>
  <si>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</si>
  <si>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</si>
  <si>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</si>
  <si>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</si>
  <si>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</si>
  <si>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</si>
  <si>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</si>
  <si>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</si>
  <si>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</si>
  <si>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</si>
  <si>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</si>
  <si>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</si>
  <si>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</si>
  <si>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</si>
  <si>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</si>
  <si>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</si>
  <si>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</si>
  <si>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</si>
  <si>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</si>
  <si>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</si>
  <si>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</si>
  <si>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</si>
  <si>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</si>
  <si>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</si>
  <si>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</si>
  <si>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</si>
  <si>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</si>
  <si>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</si>
  <si>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</si>
  <si>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</si>
  <si>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</si>
  <si>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</si>
  <si>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</si>
  <si>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</si>
  <si>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</si>
  <si>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</si>
  <si>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</si>
  <si>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</si>
  <si>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</si>
  <si>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</si>
  <si>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</si>
  <si>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</si>
  <si>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</si>
  <si>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</si>
  <si>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</si>
  <si>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</si>
  <si>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</si>
  <si>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</si>
  <si>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</si>
  <si>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</si>
  <si>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</si>
  <si>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</si>
  <si>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</si>
  <si>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</si>
  <si>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</si>
  <si>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</si>
  <si>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</si>
  <si>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</si>
  <si>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</si>
  <si>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</si>
  <si>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</si>
  <si>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</si>
  <si>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</si>
  <si>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</si>
  <si>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</si>
  <si>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</si>
  <si>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</si>
  <si>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</si>
  <si>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</si>
  <si>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</si>
  <si>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</si>
  <si>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</si>
  <si>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</si>
  <si>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</si>
  <si>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</si>
  <si>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</si>
  <si>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</si>
  <si>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</si>
  <si>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</si>
  <si>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</si>
  <si>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</si>
  <si>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</si>
  <si>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</si>
  <si>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</si>
  <si>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</si>
  <si>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</si>
  <si>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</si>
  <si>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</si>
  <si>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</si>
  <si>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</si>
  <si>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</si>
  <si>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</si>
  <si>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</si>
  <si>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</si>
  <si>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</si>
  <si>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</si>
  <si>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</si>
  <si>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</si>
  <si>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</si>
  <si>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</si>
  <si>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</si>
  <si>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</si>
  <si>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</si>
  <si>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</si>
  <si>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</si>
  <si>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</si>
  <si>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</si>
  <si>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</si>
  <si>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</si>
  <si>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</si>
  <si>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</si>
  <si>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</si>
  <si>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</si>
  <si>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</si>
  <si>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</si>
  <si>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</si>
  <si>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</si>
  <si>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</si>
  <si>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</si>
  <si>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</si>
  <si>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</si>
  <si>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</si>
  <si>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</si>
  <si>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</si>
  <si>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</si>
  <si>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</si>
  <si>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</si>
  <si>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</si>
  <si>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</si>
  <si>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</si>
  <si>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</si>
  <si>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</si>
  <si>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</si>
  <si>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</si>
  <si>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</si>
  <si>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</si>
  <si>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</si>
  <si>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</si>
  <si>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</si>
  <si>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</si>
  <si>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</si>
  <si>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</si>
  <si>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</si>
  <si>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</si>
  <si>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</si>
  <si>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</si>
  <si>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</si>
  <si>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</si>
  <si>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</si>
  <si>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</si>
  <si>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</si>
  <si>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</si>
  <si>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</si>
  <si>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</si>
  <si>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</si>
  <si>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</si>
  <si>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</si>
  <si>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</si>
  <si>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</si>
  <si>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</si>
  <si>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</si>
  <si>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</si>
  <si>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</si>
  <si>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</si>
  <si>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</si>
  <si>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</si>
  <si>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</si>
  <si>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</si>
  <si>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</si>
  <si>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</si>
  <si>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</si>
  <si>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</si>
  <si>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</si>
  <si>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</si>
  <si>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</si>
  <si>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</si>
  <si>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</si>
  <si>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</si>
  <si>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</si>
  <si>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</si>
  <si>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</si>
  <si>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</si>
  <si>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</si>
  <si>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</si>
  <si>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</si>
  <si>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</si>
  <si>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</si>
  <si>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</si>
  <si>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</si>
  <si>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</si>
  <si>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</si>
  <si>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</si>
  <si>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</si>
  <si>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</si>
  <si>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</si>
  <si>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</si>
  <si>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</si>
  <si>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</si>
  <si>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</si>
  <si>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</si>
  <si>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</si>
  <si>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</si>
  <si>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</si>
  <si>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</si>
  <si>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</si>
  <si>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</si>
  <si>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</si>
  <si>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</si>
  <si>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</si>
  <si>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</si>
  <si>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</si>
  <si>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</si>
  <si>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</si>
  <si>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</si>
  <si>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</si>
  <si>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</si>
  <si>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</si>
  <si>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</si>
  <si>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</si>
  <si>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</si>
  <si>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</si>
  <si>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</si>
  <si>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</si>
  <si>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</si>
  <si>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</si>
  <si>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</si>
  <si>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</si>
  <si>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</si>
  <si>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</si>
  <si>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</si>
  <si>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</si>
  <si>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</si>
  <si>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</si>
  <si>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</si>
  <si>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</si>
  <si>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</si>
  <si>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</si>
  <si>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</si>
  <si>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</si>
  <si>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</si>
  <si>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</si>
  <si>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</si>
  <si>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</si>
  <si>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</si>
  <si>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</si>
  <si>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</si>
  <si>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</si>
  <si>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</si>
  <si>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</si>
  <si>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</si>
  <si>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</si>
  <si>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</si>
  <si>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</si>
  <si>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</si>
  <si>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</si>
  <si>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</si>
  <si>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</si>
  <si>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</si>
  <si>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</si>
  <si>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</si>
  <si>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</si>
  <si>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</si>
  <si>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</si>
  <si>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</si>
  <si>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</si>
  <si>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</si>
  <si>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</si>
  <si>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</si>
  <si>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</si>
  <si>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</si>
  <si>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</si>
  <si>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</si>
  <si>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</si>
  <si>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</si>
  <si>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</si>
  <si>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</si>
  <si>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</si>
  <si>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</si>
  <si>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</si>
  <si>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</si>
  <si>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</si>
  <si>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</si>
  <si>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</si>
  <si>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</si>
  <si>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</si>
  <si>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</si>
  <si>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</si>
  <si>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</si>
  <si>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</si>
  <si>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</si>
  <si>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</si>
  <si>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</si>
  <si>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</si>
  <si>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</si>
  <si>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</si>
  <si>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</si>
  <si>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</si>
  <si>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</si>
  <si>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</si>
  <si>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</si>
  <si>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</si>
  <si>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</si>
  <si>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</si>
  <si>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</si>
  <si>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</si>
  <si>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</si>
  <si>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</si>
  <si>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</si>
  <si>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</si>
  <si>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</si>
  <si>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</si>
  <si>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</si>
  <si>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</si>
  <si>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</si>
  <si>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</si>
  <si>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</si>
  <si>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</si>
  <si>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</si>
  <si>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</si>
  <si>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</si>
  <si>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</si>
  <si>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</si>
  <si>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</si>
  <si>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</si>
  <si>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</si>
  <si>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</si>
  <si>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</si>
  <si>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</si>
  <si>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</si>
  <si>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</si>
  <si>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</si>
  <si>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</si>
  <si>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</si>
  <si>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</si>
  <si>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</si>
  <si>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</si>
  <si>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</si>
  <si>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</si>
  <si>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</si>
  <si>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</si>
  <si>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</si>
  <si>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</si>
  <si>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</si>
  <si>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</si>
  <si>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RAUCO</t>
  </si>
  <si>
    <t xml:space="preserve">CESFAM RAUCO </t>
  </si>
  <si>
    <t>BELEN BRICEÑO MENESES</t>
  </si>
  <si>
    <t>JOSEFA HERRERA NAVARRO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</si>
</sst>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/>
    <cellStyle name="20% - Énfasis1 2 2" xfId="3"/>
    <cellStyle name="20% - Énfasis1 3" xfId="4"/>
    <cellStyle name="20% - Énfasis2" xfId="5" builtinId="34" customBuiltin="1"/>
    <cellStyle name="20% - Énfasis2 2" xfId="6"/>
    <cellStyle name="20% - Énfasis2 2 2" xfId="7"/>
    <cellStyle name="20% - Énfasis2 3" xfId="8"/>
    <cellStyle name="20% - Énfasis3" xfId="9" builtinId="38" customBuiltin="1"/>
    <cellStyle name="20% - Énfasis3 2" xfId="10"/>
    <cellStyle name="20% - Énfasis3 2 2" xfId="11"/>
    <cellStyle name="20% - Énfasis3 3" xfId="12"/>
    <cellStyle name="20% - Énfasis4" xfId="13" builtinId="42" customBuiltin="1"/>
    <cellStyle name="20% - Énfasis4 2" xfId="14"/>
    <cellStyle name="20% - Énfasis4 2 2" xfId="15"/>
    <cellStyle name="20% - Énfasis4 3" xfId="16"/>
    <cellStyle name="20% - Énfasis5" xfId="17" builtinId="46" customBuiltin="1"/>
    <cellStyle name="20% - Énfasis5 2" xfId="18"/>
    <cellStyle name="20% - Énfasis5 2 2" xfId="19"/>
    <cellStyle name="20% - Énfasis5 3" xfId="20"/>
    <cellStyle name="20% - Énfasis6" xfId="21" builtinId="50" customBuiltin="1"/>
    <cellStyle name="20% - Énfasis6 2" xfId="22"/>
    <cellStyle name="20% - Énfasis6 2 2" xfId="23"/>
    <cellStyle name="20% - Énfasis6 3" xfId="24"/>
    <cellStyle name="40% - Énfasis1" xfId="25" builtinId="31" customBuiltin="1"/>
    <cellStyle name="40% - Énfasis1 2" xfId="26"/>
    <cellStyle name="40% - Énfasis1 2 2" xfId="27"/>
    <cellStyle name="40% - Énfasis1 3" xfId="28"/>
    <cellStyle name="40% - Énfasis2" xfId="29" builtinId="35" customBuiltin="1"/>
    <cellStyle name="40% - Énfasis2 2" xfId="30"/>
    <cellStyle name="40% - Énfasis2 2 2" xfId="31"/>
    <cellStyle name="40% - Énfasis2 3" xfId="32"/>
    <cellStyle name="40% - Énfasis3" xfId="33" builtinId="39" customBuiltin="1"/>
    <cellStyle name="40% - Énfasis3 2" xfId="34"/>
    <cellStyle name="40% - Énfasis3 2 2" xfId="35"/>
    <cellStyle name="40% - Énfasis3 3" xfId="36"/>
    <cellStyle name="40% - Énfasis4" xfId="37" builtinId="43" customBuiltin="1"/>
    <cellStyle name="40% - Énfasis4 2" xfId="38"/>
    <cellStyle name="40% - Énfasis4 2 2" xfId="39"/>
    <cellStyle name="40% - Énfasis4 3" xfId="40"/>
    <cellStyle name="40% - Énfasis5" xfId="41" builtinId="47" customBuiltin="1"/>
    <cellStyle name="40% - Énfasis5 2" xfId="42"/>
    <cellStyle name="40% - Énfasis5 2 2" xfId="43"/>
    <cellStyle name="40% - Énfasis5 3" xfId="44"/>
    <cellStyle name="40% - Énfasis6" xfId="45" builtinId="51" customBuiltin="1"/>
    <cellStyle name="40% - Énfasis6 2" xfId="46"/>
    <cellStyle name="40% - Énfasis6 2 2" xfId="47"/>
    <cellStyle name="40% - Énfasis6 3" xfId="48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/>
    <cellStyle name="Escribir 2" xfId="68"/>
    <cellStyle name="Escribir 2 2" xfId="69"/>
    <cellStyle name="Escribir_SBM-09V1.1" xfId="70"/>
    <cellStyle name="Euro" xfId="71"/>
    <cellStyle name="Euro 2" xfId="72"/>
    <cellStyle name="Euro 2 2" xfId="73"/>
    <cellStyle name="Incorrecto" xfId="74" builtinId="27" customBuiltin="1"/>
    <cellStyle name="Millares" xfId="75" builtinId="3"/>
    <cellStyle name="Millares [0]" xfId="76" builtinId="6"/>
    <cellStyle name="Millares [0] 2" xfId="77"/>
    <cellStyle name="Millares [0] 2 2" xfId="78"/>
    <cellStyle name="Millares [0] 2 2 2" xfId="79"/>
    <cellStyle name="Millares [0] 2 2 2 2" xfId="80"/>
    <cellStyle name="Millares [0] 2 2 3" xfId="81"/>
    <cellStyle name="Millares [0] 2 3" xfId="82"/>
    <cellStyle name="Millares [0] 2 3 2" xfId="83"/>
    <cellStyle name="Millares [0] 2 4" xfId="84"/>
    <cellStyle name="Millares [0] 3" xfId="85"/>
    <cellStyle name="Millares [0] 3 2" xfId="86"/>
    <cellStyle name="Millares [0] 3 2 2" xfId="87"/>
    <cellStyle name="Millares [0] 3 2 2 2" xfId="88"/>
    <cellStyle name="Millares [0] 3 3" xfId="89"/>
    <cellStyle name="Millares [0] 3 3 2" xfId="90"/>
    <cellStyle name="Millares [0] 4" xfId="91"/>
    <cellStyle name="Millares [0] 4 2" xfId="92"/>
    <cellStyle name="Millares [0] 4 2 2" xfId="93"/>
    <cellStyle name="Millares [0] 4 3" xfId="94"/>
    <cellStyle name="Millares 10 3" xfId="95"/>
    <cellStyle name="Millares 2" xfId="96"/>
    <cellStyle name="Millares 2 2" xfId="97"/>
    <cellStyle name="Millares 2 2 2" xfId="98"/>
    <cellStyle name="Millares 2 3" xfId="99"/>
    <cellStyle name="Millares 2 4" xfId="100"/>
    <cellStyle name="Millares 3" xfId="101"/>
    <cellStyle name="Millares 3 2" xfId="102"/>
    <cellStyle name="Millares 3 2 2" xfId="103"/>
    <cellStyle name="Millares 3 3" xfId="104"/>
    <cellStyle name="Millares 4" xfId="105"/>
    <cellStyle name="Millares 5" xfId="106"/>
    <cellStyle name="Moneda 2" xfId="107"/>
    <cellStyle name="Moneda 2 2" xfId="108"/>
    <cellStyle name="Moneda 2 2 2" xfId="109"/>
    <cellStyle name="Moneda 2 3" xfId="110"/>
    <cellStyle name="Moneda 3" xfId="111"/>
    <cellStyle name="Neutral" xfId="112" builtinId="28" customBuiltin="1"/>
    <cellStyle name="Normal" xfId="0" builtinId="0"/>
    <cellStyle name="Normal 11" xfId="113"/>
    <cellStyle name="Normal 2" xfId="114"/>
    <cellStyle name="Normal 2 2" xfId="115"/>
    <cellStyle name="Normal 2 3" xfId="116"/>
    <cellStyle name="Normal 5" xfId="117"/>
    <cellStyle name="Normal 6" xfId="118"/>
    <cellStyle name="Normal 6 2" xfId="119"/>
    <cellStyle name="Normal 6 3" xfId="120"/>
    <cellStyle name="Normal_nombre" xfId="121"/>
    <cellStyle name="Normal_REM 08-2002" xfId="122"/>
    <cellStyle name="Normal_REM 17-2002" xfId="123"/>
    <cellStyle name="Normal_REM 18-2002" xfId="124"/>
    <cellStyle name="Normal_REM 18A-2002" xfId="125"/>
    <cellStyle name="Normal_REM18A-18" xfId="126"/>
    <cellStyle name="Normal_SBM-09V1.1" xfId="127"/>
    <cellStyle name="Notas" xfId="128" builtinId="10" customBuiltin="1"/>
    <cellStyle name="Notas 2" xfId="129"/>
    <cellStyle name="Notas 2 2" xfId="130"/>
    <cellStyle name="Notas 2 2 2 2" xfId="140"/>
    <cellStyle name="Notas 3" xfId="131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393700</xdr:colOff>
      <xdr:row>4</xdr:row>
      <xdr:rowOff>101600</xdr:rowOff>
    </xdr:from>
    <xdr:to>
      <xdr:col>7</xdr:col>
      <xdr:colOff>406400</xdr:colOff>
      <xdr:row>4</xdr:row>
      <xdr:rowOff>520700</xdr:rowOff>
    </xdr:to>
    <xdr:sp macro="" textlink="">
      <xdr:nvSpPr>
        <xdr:cNvPr id="3075" name="CommandButton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4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393700</xdr:colOff>
      <xdr:row>4</xdr:row>
      <xdr:rowOff>101600</xdr:rowOff>
    </xdr:from>
    <xdr:to>
      <xdr:col>7</xdr:col>
      <xdr:colOff>406400</xdr:colOff>
      <xdr:row>4</xdr:row>
      <xdr:rowOff>520700</xdr:rowOff>
    </xdr:to>
    <xdr:pic>
      <xdr:nvPicPr>
        <xdr:cNvPr id="2" name="CommandButton3">
          <a:extLst>
            <a:ext uri="{FF2B5EF4-FFF2-40B4-BE49-F238E27FC236}">
              <a16:creationId xmlns:a16="http://schemas.microsoft.com/office/drawing/2014/main" id="{628A04E6-A40F-6AF2-0B79-4AC486F0757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346200"/>
          <a:ext cx="26416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I43"/>
  <sheetViews>
    <sheetView showGridLines="0" tabSelected="1" zoomScaleNormal="100" workbookViewId="0">
      <selection activeCell="B3" sqref="B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42578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42578125" style="1" hidden="1" customWidth="1"/>
    <col min="31" max="31" width="7.28515625" style="1" hidden="1" customWidth="1"/>
    <col min="32" max="32" width="20" style="1" hidden="1" customWidth="1"/>
    <col min="33" max="33" width="33.42578125" style="1" hidden="1" customWidth="1"/>
    <col min="34" max="34" width="14.42578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7</v>
      </c>
      <c r="E2" s="38">
        <v>3</v>
      </c>
      <c r="F2" s="38">
        <v>0</v>
      </c>
      <c r="G2" s="39">
        <v>5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394</v>
      </c>
      <c r="C3" s="37">
        <v>1</v>
      </c>
      <c r="D3" s="38">
        <v>1</v>
      </c>
      <c r="E3" s="38">
        <v>6</v>
      </c>
      <c r="F3" s="38">
        <v>3</v>
      </c>
      <c r="G3" s="38">
        <v>3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26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>
      <formula1>0</formula1>
      <formula2>9</formula2>
    </dataValidation>
    <dataValidation type="whole" allowBlank="1" showInputMessage="1" showErrorMessage="1" promptTitle="CODIGO MES:" prompt="Segundo: Entre 0 y 9" sqref="D6">
      <formula1>0</formula1>
      <formula2>9</formula2>
    </dataValidation>
    <dataValidation type="whole" allowBlank="1" showInputMessage="1" showErrorMessage="1" promptTitle="CODIGO MES:" prompt="Primer: Entre 0 y 1" sqref="C6">
      <formula1>0</formula1>
      <formula2>1</formula2>
    </dataValidation>
    <dataValidation type="whole" allowBlank="1" showInputMessage="1" showErrorMessage="1" promptTitle="CÓDIGO ESTABLECIMIENTO/ESTRATEGI" prompt="Primer: Entre 1 y 9" sqref="C3:C5">
      <formula1>1</formula1>
      <formula2>9</formula2>
    </dataValidation>
    <dataValidation type="whole" allowBlank="1" showInputMessage="1" showErrorMessage="1" promptTitle="CÓDIGO ESTABLECIMIENTO/ESTRATEGI" prompt="Segundo: Entre 0 y 9" sqref="D3:D5">
      <formula1>0</formula1>
      <formula2>9</formula2>
    </dataValidation>
    <dataValidation type="whole" allowBlank="1" showInputMessage="1" showErrorMessage="1" promptTitle="CÓDIGO ESTABLECIMIENTO/ESTRATEGI" prompt="Tercer: Entre 0 y 9" sqref="E3:E5">
      <formula1>0</formula1>
      <formula2>9</formula2>
    </dataValidation>
    <dataValidation type="whole" allowBlank="1" showInputMessage="1" showErrorMessage="1" promptTitle="CÓDIGO ESTABLECIMIENTO/ESTRATEGI" prompt="Cuarto: Entre 0 y 9" sqref="F3:F5">
      <formula1>0</formula1>
      <formula2>9</formula2>
    </dataValidation>
    <dataValidation type="whole" allowBlank="1" showInputMessage="1" showErrorMessage="1" promptTitle="CÓDIGO ESTABLECIMIENTO/ESTRATEGI" prompt="Quinto: Entre 0 y 9" sqref="G3:G5">
      <formula1>0</formula1>
      <formula2>9</formula2>
    </dataValidation>
    <dataValidation type="whole" allowBlank="1" showInputMessage="1" showErrorMessage="1" promptTitle="CÓDIGO ESTABLECIMIENTO/ESTRATEGI" prompt="Sexto: Entre 0 y 9" sqref="H3:H5">
      <formula1>0</formula1>
      <formula2>9</formula2>
    </dataValidation>
    <dataValidation type="whole" allowBlank="1" showInputMessage="1" showErrorMessage="1" promptTitle="DÍGITO REGIÓN:" prompt="Primer: Entre 0 y 1" sqref="C2">
      <formula1>0</formula1>
      <formula2>1</formula2>
    </dataValidation>
    <dataValidation type="whole" allowBlank="1" showInputMessage="1" showErrorMessage="1" promptTitle="DÍGITO COMUNA:" prompt="Primer: Entre 1 y 7" sqref="E2">
      <formula1>1</formula1>
      <formula2>7</formula2>
    </dataValidation>
    <dataValidation type="whole" allowBlank="1" showInputMessage="1" showErrorMessage="1" promptTitle="DÍGITO REGIÓN:" prompt="Segundo: Entre 0 y 9" sqref="D2">
      <formula1>0</formula1>
      <formula2>9</formula2>
    </dataValidation>
    <dataValidation type="whole" allowBlank="1" showInputMessage="1" showErrorMessage="1" promptTitle="DÍGITO COMUNA:" prompt="Segundo: Entre 0 y 9" sqref="F2">
      <formula1>0</formula1>
      <formula2>9</formula2>
    </dataValidation>
    <dataValidation type="whole" allowBlank="1" showInputMessage="1" showErrorMessage="1" promptTitle="DÍGITO COMUNA:" prompt="Tercer: Entre 0 y 9" sqref="G2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96"/>
  <sheetViews>
    <sheetView showGridLines="0" topLeftCell="A52" zoomScaleNormal="100" workbookViewId="0">
      <selection activeCell="D43" sqref="D43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42578125" style="49" customWidth="1"/>
    <col min="4" max="4" width="17.7109375" style="49" customWidth="1"/>
    <col min="5" max="5" width="17.42578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RAUCO  ( 07305 )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CESFAM RAUCO   ( 116333 )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59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60</v>
      </c>
      <c r="B10" s="300"/>
      <c r="C10" s="300"/>
    </row>
    <row r="11" spans="1:6" ht="12.75" customHeight="1" x14ac:dyDescent="0.2">
      <c r="A11" s="303" t="s">
        <v>61</v>
      </c>
      <c r="B11" s="304"/>
      <c r="C11" s="305"/>
      <c r="D11" s="293" t="s">
        <v>62</v>
      </c>
      <c r="E11" s="293" t="s">
        <v>63</v>
      </c>
      <c r="F11" s="296" t="s">
        <v>64</v>
      </c>
    </row>
    <row r="12" spans="1:6" ht="21.75" customHeight="1" x14ac:dyDescent="0.2">
      <c r="A12" s="306"/>
      <c r="B12" s="307"/>
      <c r="C12" s="308"/>
      <c r="D12" s="295"/>
      <c r="E12" s="295" t="s">
        <v>65</v>
      </c>
      <c r="F12" s="297" t="s">
        <v>65</v>
      </c>
    </row>
    <row r="13" spans="1:6" ht="20.25" customHeight="1" x14ac:dyDescent="0.2">
      <c r="A13" s="43" t="s">
        <v>66</v>
      </c>
      <c r="B13" s="298"/>
      <c r="C13" s="299"/>
      <c r="D13" s="76">
        <f>SUM(E13:F13)</f>
        <v>29</v>
      </c>
      <c r="E13" s="77">
        <f>SUM(E14:E20)</f>
        <v>0</v>
      </c>
      <c r="F13" s="77">
        <f>SUM(F14:F20)</f>
        <v>29</v>
      </c>
    </row>
    <row r="14" spans="1:6" ht="17.25" customHeight="1" x14ac:dyDescent="0.2">
      <c r="A14" s="44" t="s">
        <v>67</v>
      </c>
      <c r="B14" s="311" t="s">
        <v>68</v>
      </c>
      <c r="C14" s="312"/>
      <c r="D14" s="78">
        <f>SUM(E14:F14)</f>
        <v>3</v>
      </c>
      <c r="E14" s="78">
        <f>BM18A!D20</f>
        <v>0</v>
      </c>
      <c r="F14" s="78">
        <f>BM18A!E20</f>
        <v>3</v>
      </c>
    </row>
    <row r="15" spans="1:6" ht="17.25" customHeight="1" x14ac:dyDescent="0.2">
      <c r="A15" s="45" t="s">
        <v>69</v>
      </c>
      <c r="B15" s="301" t="s">
        <v>70</v>
      </c>
      <c r="C15" s="302"/>
      <c r="D15" s="78">
        <f t="shared" ref="D15:D18" si="0">SUM(E15:F15)</f>
        <v>15</v>
      </c>
      <c r="E15" s="78">
        <f>BM18A!D43</f>
        <v>0</v>
      </c>
      <c r="F15" s="78">
        <f>BM18A!E43</f>
        <v>15</v>
      </c>
    </row>
    <row r="16" spans="1:6" ht="17.25" customHeight="1" x14ac:dyDescent="0.2">
      <c r="A16" s="45" t="s">
        <v>71</v>
      </c>
      <c r="B16" s="301" t="s">
        <v>72</v>
      </c>
      <c r="C16" s="302"/>
      <c r="D16" s="78">
        <f t="shared" si="0"/>
        <v>2</v>
      </c>
      <c r="E16" s="78">
        <f>BM18A!D49</f>
        <v>0</v>
      </c>
      <c r="F16" s="78">
        <f>BM18A!E49</f>
        <v>2</v>
      </c>
    </row>
    <row r="17" spans="1:6" ht="17.25" customHeight="1" x14ac:dyDescent="0.2">
      <c r="A17" s="45" t="s">
        <v>73</v>
      </c>
      <c r="B17" s="301" t="s">
        <v>74</v>
      </c>
      <c r="C17" s="302"/>
      <c r="D17" s="78">
        <f t="shared" si="0"/>
        <v>1</v>
      </c>
      <c r="E17" s="78">
        <f>BM18A!D54</f>
        <v>0</v>
      </c>
      <c r="F17" s="78">
        <f>BM18A!E54</f>
        <v>1</v>
      </c>
    </row>
    <row r="18" spans="1:6" ht="17.25" customHeight="1" x14ac:dyDescent="0.2">
      <c r="A18" s="46" t="s">
        <v>75</v>
      </c>
      <c r="B18" s="301" t="s">
        <v>76</v>
      </c>
      <c r="C18" s="302"/>
      <c r="D18" s="78">
        <f t="shared" si="0"/>
        <v>6</v>
      </c>
      <c r="E18" s="78">
        <f>BM18A!D73</f>
        <v>0</v>
      </c>
      <c r="F18" s="78">
        <f>BM18A!E73</f>
        <v>6</v>
      </c>
    </row>
    <row r="19" spans="1:6" ht="17.25" customHeight="1" x14ac:dyDescent="0.2">
      <c r="A19" s="47" t="s">
        <v>77</v>
      </c>
      <c r="B19" s="313" t="s">
        <v>78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7" t="s">
        <v>80</v>
      </c>
      <c r="C20" s="318"/>
      <c r="D20" s="78">
        <f t="shared" si="1"/>
        <v>2</v>
      </c>
      <c r="E20" s="78">
        <f>BM18A!D88</f>
        <v>0</v>
      </c>
      <c r="F20" s="78">
        <f>BM18A!E88</f>
        <v>2</v>
      </c>
    </row>
    <row r="21" spans="1:6" ht="17.25" customHeight="1" x14ac:dyDescent="0.2">
      <c r="A21" s="43" t="s">
        <v>81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19" t="s">
        <v>83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84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85</v>
      </c>
      <c r="C24" s="180" t="s">
        <v>86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87</v>
      </c>
      <c r="D25" s="80">
        <f>SUM(F25)</f>
        <v>0</v>
      </c>
      <c r="E25" s="100"/>
      <c r="F25" s="93"/>
    </row>
    <row r="26" spans="1:6" ht="17.25" customHeight="1" x14ac:dyDescent="0.2">
      <c r="A26" s="294"/>
      <c r="B26" s="309" t="s">
        <v>88</v>
      </c>
      <c r="C26" s="133" t="s">
        <v>86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87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89</v>
      </c>
      <c r="C28" s="133" t="s">
        <v>86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87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90</v>
      </c>
      <c r="C30" s="133" t="s">
        <v>86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87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93</v>
      </c>
      <c r="C36" s="133" t="s">
        <v>86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6" t="s">
        <v>94</v>
      </c>
      <c r="B40" s="296" t="s">
        <v>62</v>
      </c>
      <c r="C40" s="293" t="s">
        <v>63</v>
      </c>
      <c r="D40" s="296" t="s">
        <v>64</v>
      </c>
    </row>
    <row r="41" spans="1:6" ht="25.5" customHeight="1" x14ac:dyDescent="0.2">
      <c r="A41" s="297"/>
      <c r="B41" s="324"/>
      <c r="C41" s="295" t="s">
        <v>65</v>
      </c>
      <c r="D41" s="297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5</v>
      </c>
      <c r="C43" s="83">
        <f>BM18A!D158</f>
        <v>0</v>
      </c>
      <c r="D43" s="83">
        <f>BM18A!E158</f>
        <v>5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28</v>
      </c>
      <c r="C45" s="79">
        <f>SUM(BM18A!D132:D139)</f>
        <v>0</v>
      </c>
      <c r="D45" s="79">
        <f>SUM(BM18A!E132:E139)</f>
        <v>28</v>
      </c>
    </row>
    <row r="46" spans="1:6" ht="16.5" customHeight="1" x14ac:dyDescent="0.2">
      <c r="A46" s="90" t="s">
        <v>99</v>
      </c>
      <c r="B46" s="79">
        <f t="shared" si="4"/>
        <v>130</v>
      </c>
      <c r="C46" s="83">
        <f>BM18A!D148</f>
        <v>0</v>
      </c>
      <c r="D46" s="83">
        <f>BM18A!E148</f>
        <v>130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99</v>
      </c>
      <c r="C50" s="79">
        <f>BM18A!D177</f>
        <v>0</v>
      </c>
      <c r="D50" s="79">
        <f>BM18A!E177</f>
        <v>99</v>
      </c>
    </row>
    <row r="51" spans="1:4" ht="16.5" customHeight="1" x14ac:dyDescent="0.2">
      <c r="A51" s="223" t="s">
        <v>104</v>
      </c>
      <c r="B51" s="90">
        <f t="shared" si="4"/>
        <v>999</v>
      </c>
      <c r="C51" s="81">
        <f>BM18A!D206</f>
        <v>0</v>
      </c>
      <c r="D51" s="81">
        <f>BM18A!E206</f>
        <v>999</v>
      </c>
    </row>
    <row r="52" spans="1:4" ht="17.25" customHeight="1" x14ac:dyDescent="0.2">
      <c r="A52" s="91" t="s">
        <v>62</v>
      </c>
      <c r="B52" s="77">
        <f>SUM(B42:B51)</f>
        <v>1261</v>
      </c>
      <c r="C52" s="77">
        <f>SUM(C42:C51)</f>
        <v>0</v>
      </c>
      <c r="D52" s="77">
        <f>SUM(D42:D51)</f>
        <v>1261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32" t="s">
        <v>106</v>
      </c>
      <c r="B55" s="330" t="s">
        <v>62</v>
      </c>
    </row>
    <row r="56" spans="1:4" x14ac:dyDescent="0.2">
      <c r="A56" s="333"/>
      <c r="B56" s="33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328" t="s">
        <v>109</v>
      </c>
      <c r="B59" s="329"/>
      <c r="C59" s="103" t="s">
        <v>110</v>
      </c>
      <c r="D59" s="104" t="s">
        <v>111</v>
      </c>
    </row>
    <row r="60" spans="1:4" ht="16.5" customHeight="1" x14ac:dyDescent="0.2">
      <c r="A60" s="325" t="s">
        <v>112</v>
      </c>
      <c r="B60" s="208" t="s">
        <v>113</v>
      </c>
      <c r="C60" s="87">
        <v>90</v>
      </c>
      <c r="D60" s="84"/>
    </row>
    <row r="61" spans="1:4" ht="16.5" customHeight="1" x14ac:dyDescent="0.2">
      <c r="A61" s="326"/>
      <c r="B61" s="12" t="s">
        <v>114</v>
      </c>
      <c r="C61" s="88"/>
      <c r="D61" s="85"/>
    </row>
    <row r="62" spans="1:4" ht="16.5" customHeight="1" x14ac:dyDescent="0.2">
      <c r="A62" s="327"/>
      <c r="B62" s="13" t="s">
        <v>115</v>
      </c>
      <c r="C62" s="89"/>
      <c r="D62" s="86"/>
    </row>
    <row r="96" spans="1:1" hidden="1" x14ac:dyDescent="0.2">
      <c r="A96" s="215">
        <f>SUM(D13:D37,B42:B52,B57,C60:C62)</f>
        <v>2670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>
      <formula1>0</formula1>
    </dataValidation>
    <dataValidation type="whole" allowBlank="1" showInputMessage="1" showErrorMessage="1" sqref="D49">
      <formula1>0</formula1>
      <formula2>9.99999999999999E+25</formula2>
    </dataValidation>
    <dataValidation type="whole" allowBlank="1" showInputMessage="1" showErrorMessage="1" sqref="E24 E32">
      <formula1>0</formula1>
      <formula2>9.99999999999999E+37</formula2>
    </dataValidation>
    <dataValidation type="whole" allowBlank="1" showInputMessage="1" showErrorMessage="1" sqref="E25 E31">
      <formula1>0</formula1>
      <formula2>9.99999999999999E+45</formula2>
    </dataValidation>
    <dataValidation type="whole" allowBlank="1" showInputMessage="1" showErrorMessage="1" sqref="E26 E27">
      <formula1>0</formula1>
      <formula2>9.99999999999999E+44</formula2>
    </dataValidation>
    <dataValidation type="whole" allowBlank="1" showInputMessage="1" showErrorMessage="1" sqref="E28 E33">
      <formula1>0</formula1>
      <formula2>9.99999999999999E+38</formula2>
    </dataValidation>
    <dataValidation type="whole" allowBlank="1" showInputMessage="1" showErrorMessage="1" sqref="E29 E37">
      <formula1>0</formula1>
      <formula2>9.99999999999999E+43</formula2>
    </dataValidation>
    <dataValidation type="whole" allowBlank="1" showInputMessage="1" showErrorMessage="1" sqref="E30">
      <formula1>0</formula1>
      <formula2>9.99999999999999E+41</formula2>
    </dataValidation>
    <dataValidation type="whole" allowBlank="1" showInputMessage="1" showErrorMessage="1" sqref="E34">
      <formula1>0</formula1>
      <formula2>9.99999999999999E+46</formula2>
    </dataValidation>
    <dataValidation type="whole" allowBlank="1" showInputMessage="1" showErrorMessage="1" sqref="E35 E36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209"/>
  <sheetViews>
    <sheetView showGridLines="0" zoomScaleNormal="100" workbookViewId="0">
      <selection activeCell="F143" sqref="F14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42578125" style="124" customWidth="1"/>
    <col min="5" max="5" width="21.42578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RAUCO  ( 07305 )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CESFAM RAUCO   ( 116333 )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116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68" t="s">
        <v>1</v>
      </c>
      <c r="B10" s="351" t="s">
        <v>61</v>
      </c>
      <c r="C10" s="341" t="s">
        <v>62</v>
      </c>
      <c r="D10" s="351" t="s">
        <v>63</v>
      </c>
      <c r="E10" s="357" t="s">
        <v>64</v>
      </c>
      <c r="F10" s="351" t="s">
        <v>117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118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/>
      <c r="F13" s="65">
        <v>10</v>
      </c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/>
      <c r="F14" s="65">
        <v>196</v>
      </c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2</v>
      </c>
      <c r="D15" s="65"/>
      <c r="E15" s="114">
        <v>2</v>
      </c>
      <c r="F15" s="65">
        <v>217</v>
      </c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/>
      <c r="F18" s="65">
        <v>4</v>
      </c>
    </row>
    <row r="19" spans="1:6" ht="15" customHeight="1" x14ac:dyDescent="0.2">
      <c r="A19" s="56" t="s">
        <v>129</v>
      </c>
      <c r="B19" s="121" t="s">
        <v>130</v>
      </c>
      <c r="C19" s="64">
        <f t="shared" si="1"/>
        <v>1</v>
      </c>
      <c r="D19" s="65"/>
      <c r="E19" s="114">
        <v>1</v>
      </c>
      <c r="F19" s="65">
        <v>1</v>
      </c>
    </row>
    <row r="20" spans="1:6" ht="15" customHeight="1" x14ac:dyDescent="0.2">
      <c r="A20" s="362" t="s">
        <v>62</v>
      </c>
      <c r="B20" s="363"/>
      <c r="C20" s="164">
        <f>SUM(C13:C19)</f>
        <v>3</v>
      </c>
      <c r="D20" s="165">
        <f>SUM(D13:D19)</f>
        <v>0</v>
      </c>
      <c r="E20" s="166">
        <f>SUM(E13:E19)</f>
        <v>3</v>
      </c>
      <c r="F20" s="165">
        <f>SUM(F13:F19)</f>
        <v>428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131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1</v>
      </c>
      <c r="D23" s="65"/>
      <c r="E23" s="114">
        <v>1</v>
      </c>
      <c r="F23" s="65">
        <v>36</v>
      </c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/>
      <c r="F24" s="65">
        <v>41</v>
      </c>
    </row>
    <row r="25" spans="1:6" ht="15" customHeight="1" x14ac:dyDescent="0.2">
      <c r="A25" s="56" t="s">
        <v>378</v>
      </c>
      <c r="B25" s="121" t="s">
        <v>379</v>
      </c>
      <c r="C25" s="64">
        <f t="shared" si="2"/>
        <v>2</v>
      </c>
      <c r="D25" s="65"/>
      <c r="E25" s="114">
        <v>2</v>
      </c>
      <c r="F25" s="65">
        <v>330</v>
      </c>
    </row>
    <row r="26" spans="1:6" ht="15" customHeight="1" x14ac:dyDescent="0.2">
      <c r="A26" s="56" t="s">
        <v>380</v>
      </c>
      <c r="B26" s="121" t="s">
        <v>381</v>
      </c>
      <c r="C26" s="64">
        <f t="shared" si="2"/>
        <v>2</v>
      </c>
      <c r="D26" s="65"/>
      <c r="E26" s="114">
        <v>2</v>
      </c>
      <c r="F26" s="65">
        <v>307</v>
      </c>
    </row>
    <row r="27" spans="1:6" ht="15" customHeight="1" x14ac:dyDescent="0.2">
      <c r="A27" s="56" t="s">
        <v>136</v>
      </c>
      <c r="B27" s="121" t="s">
        <v>137</v>
      </c>
      <c r="C27" s="64">
        <f t="shared" si="2"/>
        <v>2</v>
      </c>
      <c r="D27" s="65"/>
      <c r="E27" s="114">
        <v>2</v>
      </c>
      <c r="F27" s="65">
        <v>312</v>
      </c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2</v>
      </c>
      <c r="D29" s="65"/>
      <c r="E29" s="114">
        <v>2</v>
      </c>
      <c r="F29" s="65">
        <v>102</v>
      </c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/>
      <c r="F30" s="65">
        <v>29</v>
      </c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1</v>
      </c>
      <c r="D32" s="65"/>
      <c r="E32" s="114">
        <v>1</v>
      </c>
      <c r="F32" s="65">
        <v>32</v>
      </c>
    </row>
    <row r="33" spans="1:6" ht="15" customHeight="1" x14ac:dyDescent="0.2">
      <c r="A33" s="56" t="s">
        <v>148</v>
      </c>
      <c r="B33" s="121" t="s">
        <v>149</v>
      </c>
      <c r="C33" s="64">
        <f t="shared" si="2"/>
        <v>2</v>
      </c>
      <c r="D33" s="65"/>
      <c r="E33" s="114">
        <v>2</v>
      </c>
      <c r="F33" s="65">
        <v>372</v>
      </c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/>
      <c r="F34" s="65">
        <v>21</v>
      </c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/>
      <c r="F35" s="65">
        <v>120</v>
      </c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/>
      <c r="F36" s="65">
        <v>5</v>
      </c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/>
      <c r="F37" s="65">
        <v>2</v>
      </c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1</v>
      </c>
      <c r="D38" s="65"/>
      <c r="E38" s="114">
        <v>1</v>
      </c>
      <c r="F38" s="65">
        <v>67</v>
      </c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2</v>
      </c>
      <c r="D39" s="65"/>
      <c r="E39" s="114">
        <v>2</v>
      </c>
      <c r="F39" s="65">
        <v>324</v>
      </c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62</v>
      </c>
      <c r="B43" s="347"/>
      <c r="C43" s="156">
        <f>SUM(C23:C42)</f>
        <v>15</v>
      </c>
      <c r="D43" s="156">
        <f>SUM(D23:D42)</f>
        <v>0</v>
      </c>
      <c r="E43" s="157">
        <f>SUM(E23:E42)</f>
        <v>15</v>
      </c>
      <c r="F43" s="156">
        <f>SUM(F23:F42)</f>
        <v>2100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164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2</v>
      </c>
      <c r="D46" s="65"/>
      <c r="E46" s="114">
        <v>2</v>
      </c>
      <c r="F46" s="65">
        <v>283</v>
      </c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/>
      <c r="F48" s="65">
        <v>72</v>
      </c>
    </row>
    <row r="49" spans="1:6" ht="15" customHeight="1" x14ac:dyDescent="0.2">
      <c r="A49" s="345" t="s">
        <v>62</v>
      </c>
      <c r="B49" s="346"/>
      <c r="C49" s="160">
        <f>SUM(C46:C48)</f>
        <v>2</v>
      </c>
      <c r="D49" s="156">
        <f>SUM(D46:D48)</f>
        <v>0</v>
      </c>
      <c r="E49" s="157">
        <f>SUM(E46:E48)</f>
        <v>2</v>
      </c>
      <c r="F49" s="158">
        <f>SUM(F46:F48)</f>
        <v>355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74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1</v>
      </c>
      <c r="D52" s="65"/>
      <c r="E52" s="114">
        <v>1</v>
      </c>
      <c r="F52" s="65">
        <v>11</v>
      </c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62</v>
      </c>
      <c r="B54" s="346"/>
      <c r="C54" s="160">
        <f>SUM(C52:C53)</f>
        <v>1</v>
      </c>
      <c r="D54" s="156">
        <f>SUM(D52:D53)</f>
        <v>0</v>
      </c>
      <c r="E54" s="157">
        <f>SUM(E52:E53)</f>
        <v>1</v>
      </c>
      <c r="F54" s="158">
        <f>SUM(F52:F53)</f>
        <v>11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76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/>
      <c r="F57" s="65">
        <v>5</v>
      </c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/>
      <c r="F61" s="65">
        <v>38</v>
      </c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6</v>
      </c>
      <c r="D65" s="65"/>
      <c r="E65" s="114">
        <v>6</v>
      </c>
      <c r="F65" s="65">
        <v>33</v>
      </c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62</v>
      </c>
      <c r="B73" s="347"/>
      <c r="C73" s="161">
        <f>SUM(C57:C72)</f>
        <v>6</v>
      </c>
      <c r="D73" s="156">
        <f>SUM(D57:D72)</f>
        <v>0</v>
      </c>
      <c r="E73" s="157">
        <f>SUM(E57:E72)</f>
        <v>6</v>
      </c>
      <c r="F73" s="156">
        <f>SUM(F57:F72)</f>
        <v>76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384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62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1</v>
      </c>
      <c r="D82" s="65"/>
      <c r="E82" s="114">
        <v>1</v>
      </c>
      <c r="F82" s="65">
        <v>181</v>
      </c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1</v>
      </c>
      <c r="D85" s="65"/>
      <c r="E85" s="114">
        <v>1</v>
      </c>
      <c r="F85" s="65">
        <v>177</v>
      </c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62</v>
      </c>
      <c r="B88" s="346"/>
      <c r="C88" s="160">
        <f>SUM(C81:C87)</f>
        <v>2</v>
      </c>
      <c r="D88" s="156">
        <f>SUM(D81:D87)</f>
        <v>0</v>
      </c>
      <c r="E88" s="157">
        <f>SUM(E81:E87)</f>
        <v>2</v>
      </c>
      <c r="F88" s="156">
        <f>SUM(F81:F87)</f>
        <v>358</v>
      </c>
    </row>
    <row r="89" spans="1:6" ht="15" customHeight="1" x14ac:dyDescent="0.2">
      <c r="A89" s="345" t="s">
        <v>218</v>
      </c>
      <c r="B89" s="346"/>
      <c r="C89" s="160">
        <f>+C20+C43+C49+C54+C73+C78+C88</f>
        <v>29</v>
      </c>
      <c r="D89" s="156">
        <f>+D20+D43+D49+D54+D73+D78+D88</f>
        <v>0</v>
      </c>
      <c r="E89" s="157">
        <f>+E20+E43+E49+E54+E73+E78+E88</f>
        <v>29</v>
      </c>
      <c r="F89" s="158">
        <f>+F20+F43+F49+F54+F73+F78+F88</f>
        <v>3328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219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0</v>
      </c>
      <c r="D95" s="65"/>
      <c r="E95" s="114"/>
      <c r="F95" s="65">
        <v>20</v>
      </c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/>
      <c r="F96" s="65">
        <v>69</v>
      </c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0</v>
      </c>
      <c r="D109" s="65"/>
      <c r="E109" s="114"/>
      <c r="F109" s="65">
        <v>4</v>
      </c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368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94</v>
      </c>
      <c r="C121" s="351" t="s">
        <v>65</v>
      </c>
      <c r="D121" s="351" t="s">
        <v>63</v>
      </c>
      <c r="E121" s="357" t="s">
        <v>64</v>
      </c>
      <c r="F121" s="341" t="s">
        <v>117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274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62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369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6</v>
      </c>
      <c r="D132" s="205"/>
      <c r="E132" s="254">
        <v>6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15</v>
      </c>
      <c r="D133" s="189"/>
      <c r="E133" s="255">
        <v>15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7</v>
      </c>
      <c r="D137" s="189"/>
      <c r="E137" s="255">
        <v>7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62</v>
      </c>
      <c r="B140" s="346"/>
      <c r="C140" s="72">
        <f>SUM(C131:C139)</f>
        <v>28</v>
      </c>
      <c r="D140" s="72">
        <f t="shared" ref="D140:F140" si="15">SUM(D131:D139)</f>
        <v>0</v>
      </c>
      <c r="E140" s="256">
        <f t="shared" si="15"/>
        <v>28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288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109</v>
      </c>
      <c r="D143" s="194"/>
      <c r="E143" s="247">
        <v>109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21</v>
      </c>
      <c r="D144" s="195"/>
      <c r="E144" s="260">
        <v>21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62</v>
      </c>
      <c r="B148" s="346"/>
      <c r="C148" s="159">
        <f>SUM(C143:C147)</f>
        <v>130</v>
      </c>
      <c r="D148" s="159">
        <f t="shared" ref="D148" si="16">SUM(D143:D147)</f>
        <v>0</v>
      </c>
      <c r="E148" s="263">
        <f>SUM(E143:E147)</f>
        <v>130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294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5</v>
      </c>
      <c r="D151" s="237"/>
      <c r="E151" s="113">
        <v>5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62</v>
      </c>
      <c r="B158" s="346"/>
      <c r="C158" s="72">
        <f>SUM(C151:C157)</f>
        <v>5</v>
      </c>
      <c r="D158" s="212">
        <f t="shared" ref="D158:F158" si="18">SUM(D151:D157)</f>
        <v>0</v>
      </c>
      <c r="E158" s="256">
        <f t="shared" si="18"/>
        <v>5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305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62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310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311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62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313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5</v>
      </c>
      <c r="D172" s="242"/>
      <c r="E172" s="113">
        <v>5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8</v>
      </c>
      <c r="D173" s="65"/>
      <c r="E173" s="114">
        <v>8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1</v>
      </c>
      <c r="D174" s="65"/>
      <c r="E174" s="114">
        <v>1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22</v>
      </c>
      <c r="D175" s="65"/>
      <c r="E175" s="114">
        <v>22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63</v>
      </c>
      <c r="D176" s="201"/>
      <c r="E176" s="270">
        <v>63</v>
      </c>
      <c r="F176" s="246"/>
    </row>
    <row r="177" spans="1:6" ht="15" customHeight="1" x14ac:dyDescent="0.2">
      <c r="A177" s="345" t="s">
        <v>62</v>
      </c>
      <c r="B177" s="346"/>
      <c r="C177" s="155">
        <f>SUM(C172:C176)</f>
        <v>99</v>
      </c>
      <c r="D177" s="155">
        <f t="shared" ref="D177:E177" si="20">SUM(D172:D176)</f>
        <v>0</v>
      </c>
      <c r="E177" s="271">
        <f t="shared" si="20"/>
        <v>99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319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62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104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0</v>
      </c>
      <c r="D189" s="225"/>
      <c r="E189" s="266"/>
      <c r="F189" s="272"/>
    </row>
    <row r="190" spans="1:6" ht="15" customHeight="1" x14ac:dyDescent="0.2">
      <c r="A190" s="202"/>
      <c r="B190" s="121" t="s">
        <v>327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94</v>
      </c>
      <c r="D191" s="210"/>
      <c r="E191" s="255">
        <v>94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14</v>
      </c>
      <c r="D192" s="210"/>
      <c r="E192" s="255">
        <v>14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66</v>
      </c>
      <c r="D193" s="210"/>
      <c r="E193" s="255">
        <v>66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60</v>
      </c>
      <c r="D194" s="226"/>
      <c r="E194" s="277">
        <v>60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69</v>
      </c>
      <c r="D195" s="210"/>
      <c r="E195" s="255">
        <v>69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256</v>
      </c>
      <c r="D202" s="210"/>
      <c r="E202" s="255">
        <v>256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423</v>
      </c>
      <c r="D204" s="210"/>
      <c r="E204" s="255">
        <v>423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17</v>
      </c>
      <c r="D205" s="211"/>
      <c r="E205" s="255">
        <v>17</v>
      </c>
      <c r="F205" s="258"/>
    </row>
    <row r="206" spans="1:6" ht="15" customHeight="1" x14ac:dyDescent="0.2">
      <c r="A206" s="345" t="s">
        <v>62</v>
      </c>
      <c r="B206" s="346"/>
      <c r="C206" s="72">
        <f>SUM(C189:C205)</f>
        <v>999</v>
      </c>
      <c r="D206" s="212">
        <f t="shared" ref="D206:F206" si="24">SUM(D189:D205)</f>
        <v>0</v>
      </c>
      <c r="E206" s="256">
        <f t="shared" si="24"/>
        <v>999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/>
    <dataValidation type="whole" allowBlank="1" showInputMessage="1" showErrorMessage="1" errorTitle="ERROR" error="Por Favor ingrese solo Números." sqref="D13:F19 F146:F147 F172:F177 F131:F139 F151:F157 F161:F163 F167:F168 F143:F144 F207:F208 F204:F205 F186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>
      <formula1>0</formula1>
      <formula2>1000000000</formula2>
    </dataValidation>
    <dataValidation type="whole" allowBlank="1" showInputMessage="1" showErrorMessage="1" errorTitle="ERROR" error="Por Favor ingrese solo Números." sqref="D92:F118 D81:F87 D52:F53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>
      <formula1>0</formula1>
    </dataValidation>
    <dataValidation type="whole" allowBlank="1" showInputMessage="1" showErrorMessage="1" sqref="D131:E139">
      <formula1>0</formula1>
      <formula2>10000000000</formula2>
    </dataValidation>
    <dataValidation type="whole" operator="greaterThanOrEqual" allowBlank="1" showInputMessage="1" showErrorMessage="1" sqref="D189:E205 D172:E176 D161:E163 D151:E157">
      <formula1>0</formula1>
    </dataValidation>
    <dataValidation type="whole" operator="greaterThanOrEqual" allowBlank="1" showInputMessage="1" showErrorMessage="1" errorTitle="ERROR" error="Por Favor ingrese solo Números." sqref="D180:D185 D167:E168 D143:E147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>
      <formula1>0</formula1>
      <formula2>10000000000</formula2>
    </dataValidation>
    <dataValidation allowBlank="1" showInputMessage="1" showErrorMessage="1" errorTitle="ERROR" error="Por favor ingrese solo Números." sqref="C6 D6 B6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CESFAM RAUCO  - 116333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Veronica</cp:lastModifiedBy>
  <cp:revision/>
  <dcterms:created xsi:type="dcterms:W3CDTF">2007-01-29T23:37:08Z</dcterms:created>
  <dcterms:modified xsi:type="dcterms:W3CDTF">2025-08-12T20:07:03Z</dcterms:modified>
  <cp:category/>
  <cp:contentStatus/>
</cp:coreProperties>
</file>