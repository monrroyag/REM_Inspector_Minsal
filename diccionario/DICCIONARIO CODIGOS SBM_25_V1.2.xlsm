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DICCIONARIOS/SERIE BM/"/>
    </mc:Choice>
  </mc:AlternateContent>
  <xr:revisionPtr revIDLastSave="193" documentId="8_{7C1DA272-9B23-486A-8E83-A86A1CDBD112}" xr6:coauthVersionLast="47" xr6:coauthVersionMax="47" xr10:uidLastSave="{92F8E1CF-7ED2-42EE-838A-CCFA885EB13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5475" yWindow="3735" windowWidth="21540" windowHeight="11295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6" i="19" l="1"/>
  <c r="G158" i="19"/>
  <c r="G148" i="19"/>
  <c r="G140" i="19"/>
  <c r="E186" i="19" l="1"/>
  <c r="E206" i="19" l="1"/>
  <c r="F206" i="19"/>
  <c r="E177" i="19"/>
  <c r="F177" i="19"/>
  <c r="E158" i="19"/>
  <c r="F158" i="19"/>
  <c r="E148" i="19"/>
  <c r="F148" i="19"/>
  <c r="E140" i="19"/>
  <c r="F140" i="19"/>
  <c r="B4" i="19" l="1"/>
  <c r="B3" i="19"/>
  <c r="B2" i="19"/>
  <c r="B4" i="16"/>
  <c r="B3" i="16"/>
  <c r="B2" i="16"/>
  <c r="D148" i="19" l="1"/>
  <c r="F88" i="19"/>
  <c r="E88" i="19"/>
  <c r="G78" i="19"/>
  <c r="E78" i="19"/>
  <c r="E43" i="19"/>
  <c r="E20" i="19"/>
  <c r="E128" i="19"/>
  <c r="F186" i="19"/>
  <c r="F169" i="19"/>
  <c r="F164" i="19"/>
  <c r="F128" i="19"/>
  <c r="G20" i="19"/>
  <c r="F20" i="19"/>
  <c r="G88" i="19"/>
  <c r="G73" i="19"/>
  <c r="G54" i="19"/>
  <c r="G49" i="19"/>
  <c r="G43" i="19"/>
  <c r="D186" i="19" l="1"/>
  <c r="D206" i="19"/>
  <c r="E52" i="16"/>
  <c r="D177" i="19"/>
  <c r="D158" i="19"/>
  <c r="D140" i="19"/>
  <c r="D169" i="19"/>
  <c r="G89" i="19"/>
  <c r="D43" i="19"/>
  <c r="D49" i="19"/>
  <c r="D54" i="19"/>
  <c r="D128" i="19"/>
  <c r="D73" i="19"/>
  <c r="D78" i="19"/>
  <c r="F49" i="19" l="1"/>
  <c r="E49" i="19"/>
  <c r="I6" i="1" l="1"/>
  <c r="E169" i="19" l="1"/>
  <c r="F78" i="19" l="1"/>
  <c r="F73" i="19"/>
  <c r="E73" i="19"/>
  <c r="F54" i="19"/>
  <c r="E54" i="19"/>
  <c r="F43" i="19"/>
  <c r="E89" i="19" l="1"/>
  <c r="F89" i="19"/>
  <c r="B5" i="19" l="1"/>
  <c r="D88" i="19" l="1"/>
  <c r="D20" i="19"/>
  <c r="G13" i="16"/>
  <c r="D89" i="19" l="1"/>
  <c r="F13" i="16"/>
  <c r="E13" i="16" s="1"/>
  <c r="B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E164" i="19" l="1"/>
  <c r="D52" i="16" l="1"/>
  <c r="D164" i="19"/>
  <c r="C52" i="16" l="1"/>
  <c r="B96" i="16" s="1"/>
  <c r="D6" i="7" s="1"/>
  <c r="D7" i="7" s="1"/>
  <c r="B7" i="21" s="1"/>
</calcChain>
</file>

<file path=xl/sharedStrings.xml><?xml version="1.0" encoding="utf-8"?>
<sst xmlns="http://schemas.openxmlformats.org/spreadsheetml/2006/main" count="1143" uniqueCount="424">
  <si>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</si>
  <si>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</si>
  <si>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</si>
  <si>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</si>
  <si>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</si>
  <si>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</si>
  <si>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</si>
  <si>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</si>
  <si>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</si>
  <si>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</si>
  <si>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</si>
  <si>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</si>
  <si>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</si>
  <si>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</si>
  <si>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</si>
  <si>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</si>
  <si>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</si>
  <si>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</si>
  <si>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</si>
  <si>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</si>
  <si>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</si>
  <si>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</si>
  <si>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</si>
  <si>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</si>
  <si>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</si>
  <si>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</si>
  <si>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</si>
  <si>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</si>
  <si>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</si>
  <si>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</si>
  <si>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</si>
  <si>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</si>
  <si>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</si>
  <si>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</si>
  <si>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</si>
  <si>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</si>
  <si>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</si>
  <si>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</si>
  <si>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</si>
  <si>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</si>
  <si>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</si>
  <si>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</si>
  <si>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</si>
  <si>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</si>
  <si>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</si>
  <si>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</si>
  <si>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</si>
  <si>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</si>
  <si>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</si>
  <si>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</si>
  <si>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</si>
  <si>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</si>
  <si>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</si>
  <si>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</si>
  <si>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</si>
  <si>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</si>
  <si>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</si>
  <si>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</si>
  <si>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</si>
  <si>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</si>
  <si>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</si>
  <si>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</si>
  <si>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</si>
  <si>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</si>
  <si>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</si>
  <si>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</si>
  <si>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</si>
  <si>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</si>
  <si>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</si>
  <si>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</si>
  <si>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</si>
  <si>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</si>
  <si>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</si>
  <si>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</si>
  <si>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</si>
  <si>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</si>
  <si>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</si>
  <si>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</si>
  <si>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</si>
  <si>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</si>
  <si>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</si>
  <si>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</si>
  <si>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</si>
  <si>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</si>
  <si>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</si>
  <si>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</si>
  <si>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</si>
  <si>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</si>
  <si>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</si>
  <si>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</si>
  <si>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</si>
  <si>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</si>
  <si>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</si>
  <si>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</si>
  <si>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</si>
  <si>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</si>
  <si>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</si>
  <si>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</si>
  <si>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</si>
  <si>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</si>
  <si>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</si>
  <si>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</si>
  <si>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</si>
  <si>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</si>
  <si>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</si>
  <si>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</si>
  <si>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</si>
  <si>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</si>
  <si>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</si>
  <si>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</si>
  <si>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</si>
  <si>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</si>
  <si>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</si>
  <si>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</si>
  <si>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</si>
  <si>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</si>
  <si>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</si>
  <si>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</si>
  <si>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</si>
  <si>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</si>
  <si>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</si>
  <si>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</si>
  <si>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</si>
  <si>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</si>
  <si>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</si>
  <si>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</si>
  <si>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</si>
  <si>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</si>
  <si>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</si>
  <si>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</si>
  <si>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</si>
  <si>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</si>
  <si>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</si>
  <si>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</si>
  <si>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</si>
  <si>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</si>
  <si>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</si>
  <si>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</si>
  <si>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</si>
  <si>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</si>
  <si>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</si>
  <si>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</si>
  <si>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</si>
  <si>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</si>
  <si>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</si>
  <si>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</si>
  <si>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</si>
  <si>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</si>
  <si>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</si>
  <si>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</si>
  <si>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</si>
  <si>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</si>
  <si>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</si>
  <si>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</si>
  <si>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</si>
  <si>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</si>
  <si>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</si>
  <si>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</si>
  <si>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</si>
  <si>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</si>
  <si>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</si>
  <si>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</si>
  <si>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</si>
  <si>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</si>
  <si>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</si>
  <si>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</si>
  <si>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</si>
  <si>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</si>
  <si>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</si>
  <si>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</si>
  <si>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</si>
  <si>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</si>
  <si>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</si>
  <si>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</si>
  <si>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</si>
  <si>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</si>
  <si>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</si>
  <si>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</si>
  <si>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</si>
  <si>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</si>
  <si>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</si>
  <si>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</si>
  <si>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</si>
  <si>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</si>
  <si>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</si>
  <si>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</si>
  <si>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</si>
  <si>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</si>
  <si>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</si>
  <si>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</si>
  <si>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</si>
  <si>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</si>
  <si>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</si>
  <si>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</si>
  <si>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</si>
  <si>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</si>
  <si>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</si>
  <si>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</si>
  <si>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</si>
  <si>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</si>
  <si>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</si>
  <si>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</si>
  <si>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</si>
  <si>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</si>
  <si>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</si>
  <si>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</si>
  <si>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</si>
  <si>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</si>
  <si>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</si>
  <si>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</si>
  <si>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</si>
  <si>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</si>
  <si>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</si>
  <si>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</si>
  <si>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</si>
  <si>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</si>
  <si>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</si>
  <si>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</si>
  <si>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</si>
  <si>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</si>
  <si>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</si>
  <si>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</si>
  <si>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</si>
  <si>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</si>
  <si>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</si>
  <si>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</si>
  <si>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</si>
  <si>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</si>
  <si>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</si>
  <si>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</si>
  <si>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</si>
  <si>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</si>
  <si>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</si>
  <si>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</si>
  <si>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</si>
  <si>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</si>
  <si>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</si>
  <si>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</si>
  <si>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</si>
  <si>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</si>
  <si>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</si>
  <si>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</si>
  <si>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</si>
  <si>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</si>
  <si>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</si>
  <si>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</si>
  <si>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</si>
  <si>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</si>
  <si>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</si>
  <si>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</si>
  <si>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</si>
  <si>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</si>
  <si>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</si>
  <si>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</si>
  <si>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</si>
  <si>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</si>
  <si>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</si>
  <si>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</si>
  <si>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</si>
  <si>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</si>
  <si>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</si>
  <si>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</si>
  <si>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</si>
  <si>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</si>
  <si>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</si>
  <si>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</si>
  <si>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</si>
  <si>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</si>
  <si>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</si>
  <si>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</si>
  <si>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</si>
  <si>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</si>
  <si>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</si>
  <si>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</si>
  <si>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</si>
  <si>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</si>
  <si>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</si>
  <si>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</si>
  <si>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</si>
  <si>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</si>
  <si>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</si>
  <si>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</si>
  <si>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</si>
  <si>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</si>
  <si>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</si>
  <si>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</si>
  <si>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</si>
  <si>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</si>
  <si>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</si>
  <si>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</si>
  <si>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</si>
  <si>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</si>
  <si>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</si>
  <si>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</si>
  <si>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</si>
  <si>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</si>
  <si>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</si>
  <si>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</si>
  <si>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</si>
  <si>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</si>
  <si>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</si>
  <si>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</si>
  <si>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</si>
  <si>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</si>
  <si>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</si>
  <si>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</si>
  <si>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</si>
  <si>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</si>
  <si>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</si>
  <si>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</si>
  <si>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</si>
  <si>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</si>
  <si>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</si>
  <si>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</si>
  <si>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</si>
  <si>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</si>
  <si>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</si>
  <si>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</si>
  <si>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</si>
  <si>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</si>
  <si>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</si>
  <si>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</si>
  <si>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</si>
  <si>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</si>
  <si>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</si>
  <si>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</si>
  <si>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</si>
  <si>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</si>
  <si>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</si>
  <si>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</si>
  <si>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</si>
  <si>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</si>
  <si>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</si>
  <si>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</si>
  <si>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</si>
  <si>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</si>
  <si>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</si>
  <si>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</si>
  <si>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</si>
  <si>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</si>
  <si>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</si>
  <si>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</si>
  <si>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</si>
  <si>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</si>
  <si>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</si>
  <si>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</si>
  <si>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</si>
  <si>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</si>
  <si>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</si>
  <si>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</si>
  <si>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</si>
  <si>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</si>
  <si>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</si>
  <si>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</si>
  <si>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</si>
  <si>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</si>
  <si>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</si>
  <si>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</si>
  <si>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</si>
  <si>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</si>
  <si>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</si>
  <si>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</si>
  <si>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</si>
  <si>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</si>
  <si>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</si>
  <si>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</si>
  <si>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</si>
  <si>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</si>
  <si>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</si>
  <si>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</si>
  <si>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</si>
  <si>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</si>
  <si>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</si>
  <si>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</si>
  <si>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</si>
  <si>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</si>
  <si>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</si>
  <si>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18020200</t>
  </si>
  <si>
    <t>18020300</t>
  </si>
  <si>
    <t>18020400</t>
  </si>
  <si>
    <t>18030000</t>
  </si>
  <si>
    <t>18020500</t>
  </si>
  <si>
    <t>18020600</t>
  </si>
  <si>
    <t>18020700</t>
  </si>
  <si>
    <t>18020800</t>
  </si>
  <si>
    <t>18020900</t>
  </si>
  <si>
    <t>18400700</t>
  </si>
  <si>
    <t>18090200</t>
  </si>
  <si>
    <t>18090300</t>
  </si>
  <si>
    <t>18090400</t>
  </si>
  <si>
    <t>CODIGOS ELIMINADOS</t>
  </si>
  <si>
    <t>18400400</t>
  </si>
  <si>
    <t>18040100</t>
  </si>
  <si>
    <t>18040200</t>
  </si>
  <si>
    <t>18090000</t>
  </si>
  <si>
    <t>18050100</t>
  </si>
  <si>
    <t>18050200</t>
  </si>
  <si>
    <t>18050300</t>
  </si>
  <si>
    <t>18070100</t>
  </si>
  <si>
    <t>18070300</t>
  </si>
  <si>
    <t>18400900</t>
  </si>
  <si>
    <t>CODIGO NUEVO</t>
  </si>
  <si>
    <t>COL01</t>
  </si>
  <si>
    <t>COL02</t>
  </si>
  <si>
    <t>COL03</t>
  </si>
  <si>
    <t>CODIGOS NUEVOS</t>
  </si>
  <si>
    <t>COL04</t>
  </si>
  <si>
    <t>Versión 1.2 Marzo 2025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</si>
  <si>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</si>
  <si>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</si>
  <si>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</si>
  <si>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</si>
  <si>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</si>
  <si>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</si>
  <si>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0306026</t>
  </si>
  <si>
    <t>Antibiograma Corriente (mínimo 10 fármacos) (en caso de urocultivo no corresponde su cobro; incluido en el valor 03-06-011)</t>
  </si>
  <si>
    <t>0306048</t>
  </si>
  <si>
    <t>Coproparasitológico seriado simple (incluye diagnóstico de gusanos macroscópicos y examen microscópico por concentración de tres muestras separadas método Telemann ) (proc. aut.)</t>
  </si>
  <si>
    <t>0306169</t>
  </si>
  <si>
    <t>Anticuerpos virales, determ. de H.I.V.</t>
  </si>
  <si>
    <t>0306112</t>
  </si>
  <si>
    <t xml:space="preserve">VIH, anticuerpos y antígenos virales, determ. de H.I.V. </t>
  </si>
  <si>
    <t>EXÁMENES DE DEPOSICIONES, EXUDADOS, SECRECIONES Y OTROS LÍQUIDOS</t>
  </si>
  <si>
    <t>81201042A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</si>
</sst>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51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10"/>
      <color rgb="FF0070C0"/>
      <name val="Verdana"/>
      <family val="2"/>
    </font>
    <font>
      <sz val="10"/>
      <color rgb="FFFF0000"/>
      <name val="Verdana"/>
      <family val="2"/>
    </font>
    <font>
      <sz val="8"/>
      <color rgb="FFFF0000"/>
      <name val="Verdana"/>
      <family val="2"/>
    </font>
    <font>
      <b/>
      <sz val="9"/>
      <color rgb="FFFF000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2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  <xf numFmtId="0" fontId="49" fillId="0" borderId="0"/>
  </cellStyleXfs>
  <cellXfs count="395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167" fontId="12" fillId="0" borderId="4" xfId="125" applyNumberFormat="1" applyFont="1" applyBorder="1" applyAlignment="1">
      <alignment horizontal="right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67" fontId="6" fillId="37" borderId="33" xfId="125" applyNumberFormat="1" applyFont="1" applyFill="1" applyBorder="1" applyProtection="1">
      <protection locked="0"/>
    </xf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3" fontId="6" fillId="0" borderId="4" xfId="125" applyNumberFormat="1" applyFont="1" applyBorder="1" applyProtection="1">
      <protection locked="0"/>
    </xf>
    <xf numFmtId="0" fontId="12" fillId="0" borderId="4" xfId="125" applyFont="1" applyBorder="1" applyAlignment="1">
      <alignment vertical="center"/>
    </xf>
    <xf numFmtId="167" fontId="6" fillId="37" borderId="45" xfId="125" applyNumberFormat="1" applyFont="1" applyFill="1" applyBorder="1" applyProtection="1">
      <protection locked="0"/>
    </xf>
    <xf numFmtId="167" fontId="12" fillId="0" borderId="16" xfId="125" applyNumberFormat="1" applyFont="1" applyBorder="1" applyAlignment="1">
      <alignment horizontal="right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12" fillId="37" borderId="53" xfId="125" applyNumberFormat="1" applyFont="1" applyFill="1" applyBorder="1" applyProtection="1">
      <protection locked="0"/>
    </xf>
    <xf numFmtId="0" fontId="11" fillId="39" borderId="0" xfId="0" applyFont="1" applyFill="1"/>
    <xf numFmtId="0" fontId="45" fillId="33" borderId="0" xfId="0" applyFont="1" applyFill="1" applyAlignment="1">
      <alignment horizontal="center"/>
    </xf>
    <xf numFmtId="0" fontId="45" fillId="39" borderId="0" xfId="0" applyFont="1" applyFill="1" applyAlignment="1">
      <alignment horizontal="center"/>
    </xf>
    <xf numFmtId="0" fontId="45" fillId="33" borderId="39" xfId="0" applyFont="1" applyFill="1" applyBorder="1" applyAlignment="1">
      <alignment horizontal="center"/>
    </xf>
    <xf numFmtId="0" fontId="46" fillId="33" borderId="0" xfId="0" applyFont="1" applyFill="1" applyAlignment="1">
      <alignment horizontal="center"/>
    </xf>
    <xf numFmtId="0" fontId="6" fillId="0" borderId="36" xfId="124" applyFont="1" applyBorder="1" applyAlignment="1">
      <alignment horizontal="right"/>
    </xf>
    <xf numFmtId="0" fontId="47" fillId="0" borderId="37" xfId="124" applyFont="1" applyBorder="1"/>
    <xf numFmtId="0" fontId="48" fillId="0" borderId="0" xfId="124" applyFont="1"/>
    <xf numFmtId="0" fontId="13" fillId="39" borderId="0" xfId="0" applyFont="1" applyFill="1" applyAlignment="1">
      <alignment horizontal="center"/>
    </xf>
    <xf numFmtId="0" fontId="45" fillId="33" borderId="0" xfId="0" applyFont="1" applyFill="1" applyAlignment="1">
      <alignment horizontal="center" vertical="center"/>
    </xf>
    <xf numFmtId="0" fontId="50" fillId="0" borderId="0" xfId="141" applyFont="1" applyAlignment="1">
      <alignment horizontal="center"/>
    </xf>
    <xf numFmtId="0" fontId="45" fillId="0" borderId="0" xfId="141" applyFont="1" applyAlignment="1">
      <alignment horizontal="center"/>
    </xf>
    <xf numFmtId="0" fontId="46" fillId="0" borderId="0" xfId="141" applyFont="1" applyAlignment="1">
      <alignment horizontal="center"/>
    </xf>
    <xf numFmtId="0" fontId="45" fillId="0" borderId="39" xfId="141" applyFont="1" applyBorder="1" applyAlignment="1">
      <alignment horizontal="center"/>
    </xf>
    <xf numFmtId="0" fontId="47" fillId="0" borderId="19" xfId="76" applyNumberFormat="1" applyFont="1" applyFill="1" applyBorder="1" applyAlignment="1">
      <alignment horizontal="left" vertical="center" wrapText="1"/>
    </xf>
    <xf numFmtId="0" fontId="47" fillId="0" borderId="44" xfId="76" applyNumberFormat="1" applyFont="1" applyFill="1" applyBorder="1" applyAlignment="1">
      <alignment horizontal="left" vertical="center" wrapText="1"/>
    </xf>
    <xf numFmtId="49" fontId="47" fillId="0" borderId="19" xfId="76" applyNumberFormat="1" applyFont="1" applyFill="1" applyBorder="1" applyAlignment="1">
      <alignment horizontal="center"/>
    </xf>
    <xf numFmtId="0" fontId="46" fillId="0" borderId="39" xfId="141" applyFont="1" applyBorder="1" applyAlignment="1">
      <alignment horizontal="center"/>
    </xf>
    <xf numFmtId="3" fontId="6" fillId="36" borderId="15" xfId="125" applyNumberFormat="1" applyFont="1" applyFill="1" applyBorder="1" applyProtection="1">
      <protection locked="0"/>
    </xf>
    <xf numFmtId="3" fontId="6" fillId="36" borderId="19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0" fontId="47" fillId="0" borderId="33" xfId="76" applyNumberFormat="1" applyFont="1" applyFill="1" applyBorder="1" applyAlignment="1">
      <alignment horizontal="left" vertical="center" wrapText="1"/>
    </xf>
    <xf numFmtId="49" fontId="47" fillId="0" borderId="33" xfId="76" applyNumberFormat="1" applyFont="1" applyFill="1" applyBorder="1" applyAlignment="1">
      <alignment horizontal="center"/>
    </xf>
    <xf numFmtId="0" fontId="12" fillId="33" borderId="34" xfId="125" applyFont="1" applyFill="1" applyBorder="1" applyAlignment="1">
      <alignment vertical="center"/>
    </xf>
    <xf numFmtId="3" fontId="6" fillId="36" borderId="19" xfId="125" applyNumberFormat="1" applyFont="1" applyFill="1" applyBorder="1"/>
    <xf numFmtId="0" fontId="12" fillId="0" borderId="13" xfId="125" applyFont="1" applyBorder="1" applyAlignment="1">
      <alignment vertical="center"/>
    </xf>
    <xf numFmtId="0" fontId="12" fillId="0" borderId="46" xfId="125" applyFont="1" applyBorder="1" applyAlignment="1">
      <alignment vertical="center"/>
    </xf>
    <xf numFmtId="3" fontId="6" fillId="36" borderId="44" xfId="125" applyNumberFormat="1" applyFont="1" applyFill="1" applyBorder="1"/>
    <xf numFmtId="3" fontId="6" fillId="36" borderId="33" xfId="125" applyNumberFormat="1" applyFont="1" applyFill="1" applyBorder="1"/>
    <xf numFmtId="3" fontId="6" fillId="37" borderId="70" xfId="125" applyNumberFormat="1" applyFont="1" applyFill="1" applyBorder="1" applyProtection="1">
      <protection locked="0"/>
    </xf>
    <xf numFmtId="0" fontId="12" fillId="0" borderId="13" xfId="125" quotePrefix="1" applyFont="1" applyBorder="1" applyAlignment="1">
      <alignment vertical="center" wrapText="1"/>
    </xf>
    <xf numFmtId="0" fontId="12" fillId="0" borderId="46" xfId="125" quotePrefix="1" applyFont="1" applyBorder="1" applyAlignment="1">
      <alignment vertical="center" wrapText="1"/>
    </xf>
    <xf numFmtId="3" fontId="6" fillId="36" borderId="15" xfId="125" applyNumberFormat="1" applyFont="1" applyFill="1" applyBorder="1"/>
    <xf numFmtId="3" fontId="6" fillId="36" borderId="14" xfId="125" applyNumberFormat="1" applyFont="1" applyFill="1" applyBorder="1"/>
    <xf numFmtId="3" fontId="6" fillId="0" borderId="15" xfId="125" applyNumberFormat="1" applyFont="1" applyBorder="1" applyAlignment="1">
      <alignment horizontal="left"/>
    </xf>
    <xf numFmtId="3" fontId="6" fillId="37" borderId="15" xfId="125" applyNumberFormat="1" applyFont="1" applyFill="1" applyBorder="1" applyAlignment="1" applyProtection="1">
      <alignment horizontal="left"/>
      <protection locked="0"/>
    </xf>
    <xf numFmtId="3" fontId="6" fillId="0" borderId="44" xfId="125" applyNumberFormat="1" applyFont="1" applyBorder="1" applyAlignment="1">
      <alignment horizontal="left"/>
    </xf>
    <xf numFmtId="3" fontId="6" fillId="37" borderId="44" xfId="125" applyNumberFormat="1" applyFont="1" applyFill="1" applyBorder="1" applyAlignment="1" applyProtection="1">
      <alignment horizontal="left"/>
      <protection locked="0"/>
    </xf>
    <xf numFmtId="3" fontId="6" fillId="0" borderId="19" xfId="125" applyNumberFormat="1" applyFont="1" applyBorder="1" applyAlignment="1">
      <alignment horizontal="left"/>
    </xf>
    <xf numFmtId="3" fontId="6" fillId="37" borderId="19" xfId="125" applyNumberFormat="1" applyFont="1" applyFill="1" applyBorder="1" applyAlignment="1" applyProtection="1">
      <alignment horizontal="left"/>
      <protection locked="0"/>
    </xf>
    <xf numFmtId="3" fontId="6" fillId="31" borderId="15" xfId="125" applyNumberFormat="1" applyFont="1" applyFill="1" applyBorder="1" applyAlignment="1">
      <alignment horizontal="left"/>
    </xf>
    <xf numFmtId="3" fontId="6" fillId="22" borderId="15" xfId="125" applyNumberFormat="1" applyFont="1" applyFill="1" applyBorder="1" applyAlignment="1" applyProtection="1">
      <alignment horizontal="left"/>
      <protection locked="0"/>
    </xf>
    <xf numFmtId="3" fontId="6" fillId="36" borderId="19" xfId="125" applyNumberFormat="1" applyFont="1" applyFill="1" applyBorder="1" applyAlignment="1">
      <alignment horizontal="left"/>
    </xf>
    <xf numFmtId="3" fontId="6" fillId="31" borderId="19" xfId="125" applyNumberFormat="1" applyFont="1" applyFill="1" applyBorder="1" applyAlignment="1">
      <alignment horizontal="left"/>
    </xf>
    <xf numFmtId="3" fontId="6" fillId="22" borderId="19" xfId="125" applyNumberFormat="1" applyFont="1" applyFill="1" applyBorder="1" applyAlignment="1" applyProtection="1">
      <alignment horizontal="left"/>
      <protection locked="0"/>
    </xf>
    <xf numFmtId="3" fontId="6" fillId="22" borderId="31" xfId="125" applyNumberFormat="1" applyFont="1" applyFill="1" applyBorder="1" applyAlignment="1" applyProtection="1">
      <alignment horizontal="left"/>
      <protection locked="0"/>
    </xf>
    <xf numFmtId="3" fontId="6" fillId="37" borderId="32" xfId="125" applyNumberFormat="1" applyFont="1" applyFill="1" applyBorder="1" applyAlignment="1" applyProtection="1">
      <alignment horizontal="left"/>
      <protection locked="0"/>
    </xf>
    <xf numFmtId="3" fontId="6" fillId="31" borderId="33" xfId="125" applyNumberFormat="1" applyFont="1" applyFill="1" applyBorder="1" applyAlignment="1">
      <alignment horizontal="left"/>
    </xf>
    <xf numFmtId="3" fontId="6" fillId="22" borderId="69" xfId="125" applyNumberFormat="1" applyFont="1" applyFill="1" applyBorder="1" applyAlignment="1" applyProtection="1">
      <alignment horizontal="left"/>
      <protection locked="0"/>
    </xf>
    <xf numFmtId="3" fontId="6" fillId="22" borderId="33" xfId="125" applyNumberFormat="1" applyFont="1" applyFill="1" applyBorder="1" applyAlignment="1" applyProtection="1">
      <alignment horizontal="left"/>
      <protection locked="0"/>
    </xf>
    <xf numFmtId="3" fontId="6" fillId="0" borderId="33" xfId="125" applyNumberFormat="1" applyFont="1" applyBorder="1" applyAlignment="1">
      <alignment horizontal="left"/>
    </xf>
    <xf numFmtId="3" fontId="6" fillId="37" borderId="14" xfId="125" applyNumberFormat="1" applyFont="1" applyFill="1" applyBorder="1" applyAlignment="1" applyProtection="1">
      <alignment horizontal="left"/>
      <protection locked="0"/>
    </xf>
    <xf numFmtId="0" fontId="13" fillId="33" borderId="46" xfId="0" applyFont="1" applyFill="1" applyBorder="1"/>
    <xf numFmtId="0" fontId="50" fillId="0" borderId="39" xfId="141" applyFont="1" applyBorder="1" applyAlignment="1">
      <alignment horizontal="center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3" fillId="33" borderId="0" xfId="0" applyFont="1" applyFill="1" applyAlignment="1">
      <alignment horizont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2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5-2002" xfId="141" xr:uid="{8CA7C581-BD73-41F4-90F3-D968D941A936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3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99" t="s">
        <v>0</v>
      </c>
      <c r="B1" s="300"/>
      <c r="C1" s="301" t="s">
        <v>1</v>
      </c>
      <c r="D1" s="302"/>
      <c r="E1" s="302"/>
      <c r="F1" s="302"/>
      <c r="G1" s="303"/>
      <c r="H1" s="27"/>
    </row>
    <row r="2" spans="1:33" ht="21" customHeight="1" x14ac:dyDescent="0.2">
      <c r="A2" s="99" t="s">
        <v>2</v>
      </c>
      <c r="B2" s="100"/>
      <c r="C2" s="37"/>
      <c r="D2" s="38"/>
      <c r="E2" s="38"/>
      <c r="F2" s="38"/>
      <c r="G2" s="39"/>
      <c r="H2" s="40"/>
      <c r="I2" s="292" t="str">
        <f>IF(OR(NOMBRE!C2="",NOMBRE!D2="",NOMBRE!E2="",NOMBRE!F2="",NOMBRE!G2=""),"Falta Cód. Com.","")</f>
        <v>Falta Cód. Com.</v>
      </c>
      <c r="J2" s="292"/>
      <c r="K2" s="293"/>
      <c r="L2" s="293"/>
      <c r="M2" s="293"/>
      <c r="N2" s="293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1</v>
      </c>
    </row>
    <row r="3" spans="1:33" ht="21" customHeight="1" x14ac:dyDescent="0.2">
      <c r="A3" s="177" t="s">
        <v>3</v>
      </c>
      <c r="B3" s="100"/>
      <c r="C3" s="37"/>
      <c r="D3" s="38"/>
      <c r="E3" s="38"/>
      <c r="F3" s="38"/>
      <c r="G3" s="38"/>
      <c r="H3" s="39"/>
      <c r="I3" s="292" t="str">
        <f>IF(OR(NOMBRE!C3="",NOMBRE!D3="",NOMBRE!E3="",NOMBRE!F3="",NOMBRE!G3="",NOMBRE!H3=""),"Falta Cód. Est.","")</f>
        <v>Falta Cód. Est.</v>
      </c>
      <c r="J3" s="292"/>
      <c r="K3" s="293"/>
      <c r="L3" s="293"/>
      <c r="M3" s="293"/>
      <c r="N3" s="293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1</v>
      </c>
    </row>
    <row r="4" spans="1:33" s="176" customFormat="1" ht="10.5" customHeight="1" x14ac:dyDescent="0.2">
      <c r="A4" s="171"/>
      <c r="B4" s="175"/>
      <c r="C4" s="170"/>
      <c r="D4" s="170"/>
      <c r="E4" s="170"/>
      <c r="F4" s="170"/>
      <c r="G4" s="170"/>
      <c r="H4" s="170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AC4" s="2"/>
    </row>
    <row r="5" spans="1:33" s="176" customFormat="1" ht="10.5" customHeight="1" x14ac:dyDescent="0.2">
      <c r="A5" s="178"/>
      <c r="B5" s="179"/>
      <c r="C5" s="180"/>
      <c r="D5" s="180"/>
      <c r="E5" s="170"/>
      <c r="F5" s="170"/>
      <c r="G5" s="170"/>
      <c r="H5" s="170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AC5" s="2"/>
    </row>
    <row r="6" spans="1:33" ht="21" customHeight="1" x14ac:dyDescent="0.2">
      <c r="A6" s="171" t="s">
        <v>4</v>
      </c>
      <c r="B6" s="172"/>
      <c r="C6" s="173"/>
      <c r="D6" s="174"/>
      <c r="E6" s="41"/>
      <c r="F6" s="41"/>
      <c r="G6" s="41"/>
      <c r="H6" s="41"/>
      <c r="I6" s="31" t="str">
        <f>IF(OR(NOMBRE!C6="",NOMBRE!D6=""),"Falta Cód. Mes.","")</f>
        <v>Falta Cód. Mes.</v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1</v>
      </c>
    </row>
    <row r="7" spans="1:33" ht="21" customHeight="1" x14ac:dyDescent="0.2">
      <c r="A7" s="99" t="s">
        <v>5</v>
      </c>
      <c r="B7" s="101">
        <v>2025</v>
      </c>
      <c r="AG7" s="28">
        <f>SUM(AG2:AG6)</f>
        <v>3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304" t="s">
        <v>407</v>
      </c>
      <c r="B9" s="305"/>
    </row>
    <row r="10" spans="1:33" ht="12" customHeight="1" x14ac:dyDescent="0.2">
      <c r="A10" s="5"/>
      <c r="B10" s="6"/>
    </row>
    <row r="11" spans="1:33" ht="27.75" customHeight="1" x14ac:dyDescent="0.2">
      <c r="A11" s="147" t="s">
        <v>7</v>
      </c>
      <c r="B11" s="7"/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2" t="s">
        <v>10</v>
      </c>
    </row>
    <row r="12" spans="1:33" ht="21" customHeight="1" x14ac:dyDescent="0.2">
      <c r="A12" s="148" t="s">
        <v>11</v>
      </c>
      <c r="B12" s="7"/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2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2" t="s">
        <v>17</v>
      </c>
    </row>
    <row r="14" spans="1:33" ht="21" customHeight="1" x14ac:dyDescent="0.15">
      <c r="A14" s="294" t="s">
        <v>18</v>
      </c>
      <c r="B14" s="295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3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3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3"/>
    </row>
    <row r="17" spans="2:29" ht="21" customHeight="1" x14ac:dyDescent="0.15">
      <c r="B17" s="296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3"/>
    </row>
    <row r="18" spans="2:29" ht="21" customHeight="1" x14ac:dyDescent="0.15">
      <c r="B18" s="297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3"/>
    </row>
    <row r="19" spans="2:29" ht="40.5" customHeight="1" x14ac:dyDescent="0.15">
      <c r="B19" s="298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3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3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3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3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04"/>
      <c r="AB23" s="35" t="s">
        <v>38</v>
      </c>
      <c r="AC23" s="103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04"/>
      <c r="AB24" s="35" t="s">
        <v>39</v>
      </c>
      <c r="AC24" s="103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04"/>
      <c r="AB25" s="35" t="s">
        <v>40</v>
      </c>
      <c r="AC25" s="103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04"/>
      <c r="AB26" s="35" t="s">
        <v>41</v>
      </c>
      <c r="AC26" s="103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04"/>
      <c r="AB27" s="35" t="s">
        <v>42</v>
      </c>
      <c r="AC27" s="103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04"/>
      <c r="AB28" s="35" t="s">
        <v>43</v>
      </c>
      <c r="AC28" s="103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04"/>
      <c r="AB29" s="35" t="s">
        <v>44</v>
      </c>
      <c r="AC29" s="103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05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05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05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05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05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06"/>
      <c r="AB35" s="35" t="s">
        <v>50</v>
      </c>
      <c r="AC35" s="102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06"/>
      <c r="AB36" s="35" t="s">
        <v>51</v>
      </c>
      <c r="AC36" s="102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06"/>
      <c r="AB37" s="35" t="s">
        <v>52</v>
      </c>
      <c r="AC37" s="102"/>
    </row>
    <row r="38" spans="14:29" ht="12" customHeight="1" x14ac:dyDescent="0.15">
      <c r="AA38" s="106"/>
      <c r="AB38" s="35" t="s">
        <v>53</v>
      </c>
      <c r="AC38" s="102"/>
    </row>
    <row r="39" spans="14:29" ht="12" customHeight="1" x14ac:dyDescent="0.15">
      <c r="AA39" s="106"/>
      <c r="AB39" s="35" t="s">
        <v>54</v>
      </c>
      <c r="AC39" s="106"/>
    </row>
    <row r="40" spans="14:29" ht="12" customHeight="1" x14ac:dyDescent="0.15">
      <c r="AA40" s="106"/>
      <c r="AB40" s="35" t="s">
        <v>55</v>
      </c>
      <c r="AC40" s="106"/>
    </row>
    <row r="41" spans="14:29" ht="12" customHeight="1" x14ac:dyDescent="0.15">
      <c r="AA41" s="106"/>
      <c r="AB41" s="35" t="s">
        <v>56</v>
      </c>
      <c r="AC41" s="106"/>
    </row>
    <row r="42" spans="14:29" ht="12" customHeight="1" x14ac:dyDescent="0.15">
      <c r="AA42" s="106"/>
      <c r="AB42" s="35" t="s">
        <v>57</v>
      </c>
      <c r="AC42" s="106"/>
    </row>
    <row r="43" spans="14:29" ht="12" customHeight="1" x14ac:dyDescent="0.15">
      <c r="AA43" s="106"/>
      <c r="AB43" s="35"/>
      <c r="AC43" s="106"/>
    </row>
  </sheetData>
  <sheetProtection algorithmName="SHA-512" hashValue="sV/TLlGC8xvO7c2uKdkqUcIsUnoCTyApu0hygNdhtE3Bakji0S8nNM4ZkgQaLnSxAwNsVbDAOgVtb/D5a/+z1Q==" saltValue="QmGXHRzR4iYqOaGjxu6liw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W96"/>
  <sheetViews>
    <sheetView showGridLines="0" zoomScaleNormal="100" workbookViewId="0"/>
  </sheetViews>
  <sheetFormatPr baseColWidth="10" defaultColWidth="11.42578125" defaultRowHeight="12.75" x14ac:dyDescent="0.2"/>
  <cols>
    <col min="1" max="1" width="18.5703125" style="48" customWidth="1"/>
    <col min="2" max="2" width="36.42578125" style="48" customWidth="1"/>
    <col min="3" max="3" width="45.140625" style="48" customWidth="1"/>
    <col min="4" max="4" width="22.5703125" style="48" customWidth="1"/>
    <col min="5" max="5" width="17.7109375" style="48" customWidth="1"/>
    <col min="6" max="6" width="17.5703125" style="48" customWidth="1"/>
    <col min="7" max="7" width="18.28515625" style="48" customWidth="1"/>
    <col min="8" max="8" width="12" style="48" customWidth="1"/>
    <col min="9" max="9" width="13.7109375" style="48" customWidth="1"/>
    <col min="10" max="19" width="11.42578125" style="48"/>
    <col min="20" max="21" width="11.42578125" style="48" customWidth="1"/>
    <col min="22" max="22" width="11.42578125" style="48" hidden="1" customWidth="1"/>
    <col min="23" max="23" width="12" style="48" hidden="1" customWidth="1"/>
    <col min="24" max="24" width="11.85546875" style="48" customWidth="1"/>
    <col min="25" max="31" width="36" style="48" customWidth="1"/>
    <col min="32" max="16384" width="11.42578125" style="48"/>
  </cols>
  <sheetData>
    <row r="1" spans="1:7" x14ac:dyDescent="0.2">
      <c r="B1" s="49" t="s">
        <v>58</v>
      </c>
    </row>
    <row r="2" spans="1:7" x14ac:dyDescent="0.2">
      <c r="B2" s="49" t="str">
        <f>CONCATENATE("COMUNA: ",NOMBRE!B2,"  ","( ",NOMBRE!C2,NOMBRE!D2,NOMBRE!E2,NOMBRE!F2,NOMBRE!G2," )")</f>
        <v>COMUNA:   (  )</v>
      </c>
    </row>
    <row r="3" spans="1:7" x14ac:dyDescent="0.2">
      <c r="B3" s="49" t="str">
        <f>CONCATENATE("ESTABLECIMIENTO/ESTRATEGIA: ",NOMBRE!B3,"  ","( ",NOMBRE!C3,NOMBRE!D3,NOMBRE!E3,NOMBRE!F3,NOMBRE!G3,NOMBRE!H3," )")</f>
        <v>ESTABLECIMIENTO/ESTRATEGIA:   (  )</v>
      </c>
    </row>
    <row r="4" spans="1:7" x14ac:dyDescent="0.2">
      <c r="B4" s="49" t="str">
        <f>CONCATENATE("MES: ",NOMBRE!B6,"  ","( ",NOMBRE!C6,NOMBRE!D6," )")</f>
        <v>MES:   (  )</v>
      </c>
    </row>
    <row r="5" spans="1:7" x14ac:dyDescent="0.2">
      <c r="B5" s="49" t="str">
        <f>CONCATENATE("AÑO: ",NOMBRE!B7)</f>
        <v>AÑO: 2025</v>
      </c>
    </row>
    <row r="8" spans="1:7" ht="29.25" customHeight="1" x14ac:dyDescent="0.2">
      <c r="B8" s="306" t="s">
        <v>59</v>
      </c>
      <c r="C8" s="306"/>
      <c r="D8" s="306"/>
      <c r="E8" s="306"/>
      <c r="F8" s="306"/>
      <c r="G8" s="306"/>
    </row>
    <row r="9" spans="1:7" s="139" customFormat="1" ht="28.5" customHeight="1" x14ac:dyDescent="0.2">
      <c r="B9" s="306"/>
      <c r="C9" s="306"/>
      <c r="D9" s="306"/>
      <c r="E9" s="306"/>
      <c r="F9" s="306"/>
      <c r="G9" s="306"/>
    </row>
    <row r="10" spans="1:7" ht="26.25" customHeight="1" x14ac:dyDescent="0.2">
      <c r="B10" s="314" t="s">
        <v>60</v>
      </c>
      <c r="C10" s="314"/>
      <c r="D10" s="314"/>
    </row>
    <row r="11" spans="1:7" ht="12.75" customHeight="1" x14ac:dyDescent="0.2">
      <c r="B11" s="317" t="s">
        <v>61</v>
      </c>
      <c r="C11" s="318"/>
      <c r="D11" s="319"/>
      <c r="E11" s="307" t="s">
        <v>62</v>
      </c>
      <c r="F11" s="307" t="s">
        <v>63</v>
      </c>
      <c r="G11" s="310" t="s">
        <v>64</v>
      </c>
    </row>
    <row r="12" spans="1:7" ht="21.75" customHeight="1" x14ac:dyDescent="0.2">
      <c r="B12" s="320"/>
      <c r="C12" s="321"/>
      <c r="D12" s="322"/>
      <c r="E12" s="309"/>
      <c r="F12" s="309" t="s">
        <v>65</v>
      </c>
      <c r="G12" s="311" t="s">
        <v>65</v>
      </c>
    </row>
    <row r="13" spans="1:7" ht="20.25" customHeight="1" x14ac:dyDescent="0.2">
      <c r="A13" s="236"/>
      <c r="B13" s="42" t="s">
        <v>66</v>
      </c>
      <c r="C13" s="312"/>
      <c r="D13" s="313"/>
      <c r="E13" s="70">
        <f>SUM(F13:G13)</f>
        <v>0</v>
      </c>
      <c r="F13" s="71">
        <f>SUM(F14:F20)</f>
        <v>0</v>
      </c>
      <c r="G13" s="71">
        <f>SUM(G14:G20)</f>
        <v>0</v>
      </c>
    </row>
    <row r="14" spans="1:7" ht="17.25" customHeight="1" x14ac:dyDescent="0.2">
      <c r="A14" s="237">
        <v>18010100</v>
      </c>
      <c r="B14" s="43" t="s">
        <v>67</v>
      </c>
      <c r="C14" s="325" t="s">
        <v>68</v>
      </c>
      <c r="D14" s="326"/>
      <c r="E14" s="72" t="s">
        <v>402</v>
      </c>
      <c r="F14" s="72" t="s">
        <v>403</v>
      </c>
      <c r="G14" s="72" t="s">
        <v>404</v>
      </c>
    </row>
    <row r="15" spans="1:7" ht="17.25" customHeight="1" x14ac:dyDescent="0.2">
      <c r="A15" s="237">
        <v>18010200</v>
      </c>
      <c r="B15" s="44" t="s">
        <v>69</v>
      </c>
      <c r="C15" s="315" t="s">
        <v>70</v>
      </c>
      <c r="D15" s="316"/>
      <c r="E15" s="72" t="s">
        <v>402</v>
      </c>
      <c r="F15" s="72" t="s">
        <v>403</v>
      </c>
      <c r="G15" s="72" t="s">
        <v>404</v>
      </c>
    </row>
    <row r="16" spans="1:7" ht="17.25" customHeight="1" x14ac:dyDescent="0.2">
      <c r="A16" s="237">
        <v>18090100</v>
      </c>
      <c r="B16" s="44" t="s">
        <v>71</v>
      </c>
      <c r="C16" s="315" t="s">
        <v>72</v>
      </c>
      <c r="D16" s="316"/>
      <c r="E16" s="72" t="s">
        <v>402</v>
      </c>
      <c r="F16" s="72" t="s">
        <v>403</v>
      </c>
      <c r="G16" s="72" t="s">
        <v>404</v>
      </c>
    </row>
    <row r="17" spans="1:7" ht="17.25" customHeight="1" x14ac:dyDescent="0.2">
      <c r="A17" s="237">
        <v>18010500</v>
      </c>
      <c r="B17" s="44" t="s">
        <v>73</v>
      </c>
      <c r="C17" s="315" t="s">
        <v>74</v>
      </c>
      <c r="D17" s="316"/>
      <c r="E17" s="72" t="s">
        <v>402</v>
      </c>
      <c r="F17" s="72" t="s">
        <v>403</v>
      </c>
      <c r="G17" s="72" t="s">
        <v>404</v>
      </c>
    </row>
    <row r="18" spans="1:7" ht="17.25" customHeight="1" x14ac:dyDescent="0.2">
      <c r="A18" s="237">
        <v>18010601</v>
      </c>
      <c r="B18" s="45" t="s">
        <v>75</v>
      </c>
      <c r="C18" s="315" t="s">
        <v>76</v>
      </c>
      <c r="D18" s="316"/>
      <c r="E18" s="72" t="s">
        <v>402</v>
      </c>
      <c r="F18" s="72" t="s">
        <v>403</v>
      </c>
      <c r="G18" s="72" t="s">
        <v>404</v>
      </c>
    </row>
    <row r="19" spans="1:7" ht="17.25" customHeight="1" x14ac:dyDescent="0.2">
      <c r="A19" s="237">
        <v>18010800</v>
      </c>
      <c r="B19" s="46" t="s">
        <v>77</v>
      </c>
      <c r="C19" s="327" t="s">
        <v>78</v>
      </c>
      <c r="D19" s="328"/>
      <c r="E19" s="72" t="s">
        <v>402</v>
      </c>
      <c r="F19" s="72" t="s">
        <v>403</v>
      </c>
      <c r="G19" s="72" t="s">
        <v>404</v>
      </c>
    </row>
    <row r="20" spans="1:7" ht="17.25" customHeight="1" x14ac:dyDescent="0.2">
      <c r="A20" s="237">
        <v>18010900</v>
      </c>
      <c r="B20" s="47" t="s">
        <v>79</v>
      </c>
      <c r="C20" s="331" t="s">
        <v>80</v>
      </c>
      <c r="D20" s="332"/>
      <c r="E20" s="72" t="s">
        <v>402</v>
      </c>
      <c r="F20" s="72" t="s">
        <v>403</v>
      </c>
      <c r="G20" s="72" t="s">
        <v>404</v>
      </c>
    </row>
    <row r="21" spans="1:7" ht="17.25" customHeight="1" x14ac:dyDescent="0.2">
      <c r="A21" s="238"/>
      <c r="B21" s="42" t="s">
        <v>81</v>
      </c>
      <c r="C21" s="312"/>
      <c r="D21" s="313"/>
      <c r="E21" s="71"/>
      <c r="F21" s="71"/>
      <c r="G21" s="71"/>
    </row>
    <row r="22" spans="1:7" ht="17.25" customHeight="1" x14ac:dyDescent="0.2">
      <c r="A22" s="237">
        <v>18011001</v>
      </c>
      <c r="B22" s="92" t="s">
        <v>82</v>
      </c>
      <c r="C22" s="333" t="s">
        <v>83</v>
      </c>
      <c r="D22" s="334"/>
      <c r="E22" s="73" t="s">
        <v>402</v>
      </c>
      <c r="F22" s="72" t="s">
        <v>403</v>
      </c>
      <c r="G22" s="72" t="s">
        <v>404</v>
      </c>
    </row>
    <row r="23" spans="1:7" ht="17.25" customHeight="1" x14ac:dyDescent="0.2">
      <c r="A23" s="240">
        <v>18700370</v>
      </c>
      <c r="B23" s="93"/>
      <c r="C23" s="335" t="s">
        <v>84</v>
      </c>
      <c r="D23" s="336"/>
      <c r="E23" s="73" t="s">
        <v>402</v>
      </c>
      <c r="F23" s="72" t="s">
        <v>403</v>
      </c>
      <c r="G23" s="72" t="s">
        <v>404</v>
      </c>
    </row>
    <row r="24" spans="1:7" ht="17.25" customHeight="1" x14ac:dyDescent="0.2">
      <c r="A24" s="239">
        <v>18700240</v>
      </c>
      <c r="B24" s="307"/>
      <c r="C24" s="337" t="s">
        <v>85</v>
      </c>
      <c r="D24" s="182" t="s">
        <v>86</v>
      </c>
      <c r="E24" s="72" t="s">
        <v>402</v>
      </c>
      <c r="F24" s="181" t="s">
        <v>403</v>
      </c>
      <c r="G24" s="95" t="s">
        <v>404</v>
      </c>
    </row>
    <row r="25" spans="1:7" ht="17.25" customHeight="1" x14ac:dyDescent="0.2">
      <c r="A25" s="239">
        <v>18700250</v>
      </c>
      <c r="B25" s="308"/>
      <c r="C25" s="324"/>
      <c r="D25" s="128" t="s">
        <v>87</v>
      </c>
      <c r="E25" s="74" t="s">
        <v>402</v>
      </c>
      <c r="F25" s="94" t="s">
        <v>403</v>
      </c>
      <c r="G25" s="87" t="s">
        <v>404</v>
      </c>
    </row>
    <row r="26" spans="1:7" ht="17.25" customHeight="1" x14ac:dyDescent="0.2">
      <c r="A26" s="239">
        <v>18700260</v>
      </c>
      <c r="B26" s="308"/>
      <c r="C26" s="323" t="s">
        <v>88</v>
      </c>
      <c r="D26" s="127" t="s">
        <v>86</v>
      </c>
      <c r="E26" s="76" t="s">
        <v>402</v>
      </c>
      <c r="F26" s="88" t="s">
        <v>403</v>
      </c>
      <c r="G26" s="89" t="s">
        <v>404</v>
      </c>
    </row>
    <row r="27" spans="1:7" ht="17.25" customHeight="1" x14ac:dyDescent="0.2">
      <c r="A27" s="239">
        <v>18700270</v>
      </c>
      <c r="B27" s="308"/>
      <c r="C27" s="324"/>
      <c r="D27" s="128" t="s">
        <v>87</v>
      </c>
      <c r="E27" s="74" t="s">
        <v>402</v>
      </c>
      <c r="F27" s="86" t="s">
        <v>403</v>
      </c>
      <c r="G27" s="87" t="s">
        <v>404</v>
      </c>
    </row>
    <row r="28" spans="1:7" ht="17.25" customHeight="1" x14ac:dyDescent="0.2">
      <c r="A28" s="239">
        <v>18700280</v>
      </c>
      <c r="B28" s="308"/>
      <c r="C28" s="323" t="s">
        <v>89</v>
      </c>
      <c r="D28" s="127" t="s">
        <v>86</v>
      </c>
      <c r="E28" s="76" t="s">
        <v>402</v>
      </c>
      <c r="F28" s="88" t="s">
        <v>403</v>
      </c>
      <c r="G28" s="89" t="s">
        <v>404</v>
      </c>
    </row>
    <row r="29" spans="1:7" ht="17.25" customHeight="1" x14ac:dyDescent="0.2">
      <c r="A29" s="239">
        <v>18700290</v>
      </c>
      <c r="B29" s="308"/>
      <c r="C29" s="324"/>
      <c r="D29" s="128" t="s">
        <v>87</v>
      </c>
      <c r="E29" s="74" t="s">
        <v>402</v>
      </c>
      <c r="F29" s="86" t="s">
        <v>403</v>
      </c>
      <c r="G29" s="87" t="s">
        <v>404</v>
      </c>
    </row>
    <row r="30" spans="1:7" ht="17.25" customHeight="1" x14ac:dyDescent="0.2">
      <c r="A30" s="239">
        <v>18700300</v>
      </c>
      <c r="B30" s="308"/>
      <c r="C30" s="323" t="s">
        <v>90</v>
      </c>
      <c r="D30" s="127" t="s">
        <v>86</v>
      </c>
      <c r="E30" s="76" t="s">
        <v>402</v>
      </c>
      <c r="F30" s="88" t="s">
        <v>403</v>
      </c>
      <c r="G30" s="89" t="s">
        <v>404</v>
      </c>
    </row>
    <row r="31" spans="1:7" ht="17.25" customHeight="1" x14ac:dyDescent="0.2">
      <c r="A31" s="239">
        <v>18700310</v>
      </c>
      <c r="B31" s="308"/>
      <c r="C31" s="324"/>
      <c r="D31" s="128" t="s">
        <v>87</v>
      </c>
      <c r="E31" s="74" t="s">
        <v>402</v>
      </c>
      <c r="F31" s="86" t="s">
        <v>403</v>
      </c>
      <c r="G31" s="87" t="s">
        <v>404</v>
      </c>
    </row>
    <row r="32" spans="1:7" ht="17.25" customHeight="1" x14ac:dyDescent="0.2">
      <c r="A32" s="236"/>
      <c r="B32" s="308"/>
      <c r="C32" s="329" t="s">
        <v>91</v>
      </c>
      <c r="D32" s="127" t="s">
        <v>86</v>
      </c>
      <c r="E32" s="76"/>
      <c r="F32" s="88"/>
      <c r="G32" s="88"/>
    </row>
    <row r="33" spans="1:7" ht="17.25" customHeight="1" x14ac:dyDescent="0.2">
      <c r="A33" s="236"/>
      <c r="B33" s="308"/>
      <c r="C33" s="330"/>
      <c r="D33" s="128" t="s">
        <v>87</v>
      </c>
      <c r="E33" s="74"/>
      <c r="F33" s="86"/>
      <c r="G33" s="86"/>
    </row>
    <row r="34" spans="1:7" ht="17.25" customHeight="1" x14ac:dyDescent="0.2">
      <c r="A34" s="239">
        <v>18700320</v>
      </c>
      <c r="B34" s="308"/>
      <c r="C34" s="323" t="s">
        <v>92</v>
      </c>
      <c r="D34" s="127" t="s">
        <v>86</v>
      </c>
      <c r="E34" s="76" t="s">
        <v>402</v>
      </c>
      <c r="F34" s="88" t="s">
        <v>403</v>
      </c>
      <c r="G34" s="89" t="s">
        <v>404</v>
      </c>
    </row>
    <row r="35" spans="1:7" ht="17.25" customHeight="1" x14ac:dyDescent="0.2">
      <c r="A35" s="239">
        <v>18700330</v>
      </c>
      <c r="B35" s="308"/>
      <c r="C35" s="324"/>
      <c r="D35" s="128" t="s">
        <v>87</v>
      </c>
      <c r="E35" s="75" t="s">
        <v>402</v>
      </c>
      <c r="F35" s="86" t="s">
        <v>403</v>
      </c>
      <c r="G35" s="87" t="s">
        <v>404</v>
      </c>
    </row>
    <row r="36" spans="1:7" ht="17.25" customHeight="1" x14ac:dyDescent="0.2">
      <c r="A36" s="239">
        <v>18700340</v>
      </c>
      <c r="B36" s="308"/>
      <c r="C36" s="323" t="s">
        <v>93</v>
      </c>
      <c r="D36" s="127" t="s">
        <v>86</v>
      </c>
      <c r="E36" s="76" t="s">
        <v>402</v>
      </c>
      <c r="F36" s="142" t="s">
        <v>403</v>
      </c>
      <c r="G36" s="89" t="s">
        <v>404</v>
      </c>
    </row>
    <row r="37" spans="1:7" ht="17.25" customHeight="1" x14ac:dyDescent="0.2">
      <c r="A37" s="239">
        <v>18700350</v>
      </c>
      <c r="B37" s="309"/>
      <c r="C37" s="324"/>
      <c r="D37" s="128" t="s">
        <v>87</v>
      </c>
      <c r="E37" s="75" t="s">
        <v>402</v>
      </c>
      <c r="F37" s="90" t="s">
        <v>403</v>
      </c>
      <c r="G37" s="91" t="s">
        <v>404</v>
      </c>
    </row>
    <row r="38" spans="1:7" ht="19.5" customHeight="1" x14ac:dyDescent="0.2"/>
    <row r="39" spans="1:7" x14ac:dyDescent="0.2">
      <c r="B39" s="243" t="s">
        <v>368</v>
      </c>
      <c r="C39" s="11"/>
    </row>
    <row r="40" spans="1:7" ht="12.75" customHeight="1" x14ac:dyDescent="0.2">
      <c r="B40" s="310" t="s">
        <v>94</v>
      </c>
      <c r="C40" s="310" t="s">
        <v>62</v>
      </c>
      <c r="D40" s="307" t="s">
        <v>63</v>
      </c>
      <c r="E40" s="310" t="s">
        <v>64</v>
      </c>
    </row>
    <row r="41" spans="1:7" ht="25.5" customHeight="1" x14ac:dyDescent="0.2">
      <c r="B41" s="311"/>
      <c r="C41" s="338"/>
      <c r="D41" s="309" t="s">
        <v>65</v>
      </c>
      <c r="E41" s="311" t="s">
        <v>65</v>
      </c>
    </row>
    <row r="42" spans="1:7" ht="16.5" customHeight="1" x14ac:dyDescent="0.2">
      <c r="A42" s="237" t="s">
        <v>377</v>
      </c>
      <c r="B42" s="84" t="s">
        <v>95</v>
      </c>
      <c r="C42" s="73" t="s">
        <v>402</v>
      </c>
      <c r="D42" s="77" t="s">
        <v>403</v>
      </c>
      <c r="E42" s="77" t="s">
        <v>404</v>
      </c>
    </row>
    <row r="43" spans="1:7" ht="16.5" customHeight="1" x14ac:dyDescent="0.2">
      <c r="A43" s="237" t="s">
        <v>378</v>
      </c>
      <c r="B43" s="84" t="s">
        <v>96</v>
      </c>
      <c r="C43" s="73" t="s">
        <v>402</v>
      </c>
      <c r="D43" s="77" t="s">
        <v>403</v>
      </c>
      <c r="E43" s="77" t="s">
        <v>404</v>
      </c>
    </row>
    <row r="44" spans="1:7" ht="16.5" customHeight="1" x14ac:dyDescent="0.2">
      <c r="A44" s="237" t="s">
        <v>379</v>
      </c>
      <c r="B44" s="84" t="s">
        <v>97</v>
      </c>
      <c r="C44" s="73" t="s">
        <v>402</v>
      </c>
      <c r="D44" s="73" t="s">
        <v>403</v>
      </c>
      <c r="E44" s="73" t="s">
        <v>404</v>
      </c>
    </row>
    <row r="45" spans="1:7" ht="16.5" customHeight="1" x14ac:dyDescent="0.2">
      <c r="A45" s="237" t="s">
        <v>380</v>
      </c>
      <c r="B45" s="84" t="s">
        <v>98</v>
      </c>
      <c r="C45" s="73" t="s">
        <v>402</v>
      </c>
      <c r="D45" s="73" t="s">
        <v>403</v>
      </c>
      <c r="E45" s="73" t="s">
        <v>404</v>
      </c>
    </row>
    <row r="46" spans="1:7" ht="16.5" customHeight="1" x14ac:dyDescent="0.2">
      <c r="A46" s="237" t="s">
        <v>381</v>
      </c>
      <c r="B46" s="84" t="s">
        <v>99</v>
      </c>
      <c r="C46" s="73" t="s">
        <v>402</v>
      </c>
      <c r="D46" s="77" t="s">
        <v>403</v>
      </c>
      <c r="E46" s="77" t="s">
        <v>404</v>
      </c>
    </row>
    <row r="47" spans="1:7" ht="16.5" customHeight="1" x14ac:dyDescent="0.2">
      <c r="A47" s="237" t="s">
        <v>382</v>
      </c>
      <c r="B47" s="84" t="s">
        <v>100</v>
      </c>
      <c r="C47" s="73" t="s">
        <v>402</v>
      </c>
      <c r="D47" s="77" t="s">
        <v>403</v>
      </c>
      <c r="E47" s="77" t="s">
        <v>404</v>
      </c>
    </row>
    <row r="48" spans="1:7" ht="16.5" customHeight="1" x14ac:dyDescent="0.2">
      <c r="A48" s="237" t="s">
        <v>383</v>
      </c>
      <c r="B48" s="84" t="s">
        <v>101</v>
      </c>
      <c r="C48" s="73" t="s">
        <v>402</v>
      </c>
      <c r="D48" s="77" t="s">
        <v>403</v>
      </c>
      <c r="E48" s="77" t="s">
        <v>404</v>
      </c>
    </row>
    <row r="49" spans="1:5" ht="16.5" customHeight="1" x14ac:dyDescent="0.2">
      <c r="A49" s="237" t="s">
        <v>384</v>
      </c>
      <c r="B49" s="84" t="s">
        <v>102</v>
      </c>
      <c r="C49" s="73" t="s">
        <v>402</v>
      </c>
      <c r="D49" s="77" t="s">
        <v>403</v>
      </c>
      <c r="E49" s="209" t="s">
        <v>404</v>
      </c>
    </row>
    <row r="50" spans="1:5" ht="16.5" customHeight="1" x14ac:dyDescent="0.2">
      <c r="A50" s="237" t="s">
        <v>385</v>
      </c>
      <c r="B50" s="84" t="s">
        <v>103</v>
      </c>
      <c r="C50" s="241" t="s">
        <v>402</v>
      </c>
      <c r="D50" s="73" t="s">
        <v>403</v>
      </c>
      <c r="E50" s="73" t="s">
        <v>404</v>
      </c>
    </row>
    <row r="51" spans="1:5" ht="16.5" customHeight="1" x14ac:dyDescent="0.2">
      <c r="A51" s="240">
        <v>18700360</v>
      </c>
      <c r="B51" s="242" t="s">
        <v>104</v>
      </c>
      <c r="C51" s="241" t="s">
        <v>402</v>
      </c>
      <c r="D51" s="75" t="s">
        <v>403</v>
      </c>
      <c r="E51" s="75" t="s">
        <v>404</v>
      </c>
    </row>
    <row r="52" spans="1:5" ht="17.25" customHeight="1" x14ac:dyDescent="0.2">
      <c r="A52" s="236"/>
      <c r="B52" s="85" t="s">
        <v>62</v>
      </c>
      <c r="C52" s="71">
        <f>SUM(C42:C51)</f>
        <v>0</v>
      </c>
      <c r="D52" s="71">
        <f>SUM(D42:D51)</f>
        <v>0</v>
      </c>
      <c r="E52" s="71">
        <f>SUM(E42:E51)</f>
        <v>0</v>
      </c>
    </row>
    <row r="53" spans="1:5" ht="17.25" customHeight="1" x14ac:dyDescent="0.2">
      <c r="B53" s="111"/>
      <c r="C53" s="112"/>
      <c r="D53" s="112"/>
      <c r="E53" s="112"/>
    </row>
    <row r="54" spans="1:5" ht="24.75" customHeight="1" x14ac:dyDescent="0.2">
      <c r="B54" s="96" t="s">
        <v>105</v>
      </c>
    </row>
    <row r="55" spans="1:5" x14ac:dyDescent="0.2">
      <c r="B55" s="346" t="s">
        <v>106</v>
      </c>
      <c r="C55" s="344" t="s">
        <v>62</v>
      </c>
    </row>
    <row r="56" spans="1:5" x14ac:dyDescent="0.2">
      <c r="B56" s="347"/>
      <c r="C56" s="345"/>
    </row>
    <row r="57" spans="1:5" ht="17.25" customHeight="1" x14ac:dyDescent="0.2">
      <c r="A57" s="237" t="s">
        <v>386</v>
      </c>
      <c r="B57" s="110" t="s">
        <v>107</v>
      </c>
      <c r="C57" s="210" t="s">
        <v>402</v>
      </c>
    </row>
    <row r="58" spans="1:5" ht="27.75" customHeight="1" x14ac:dyDescent="0.2">
      <c r="B58" s="36" t="s">
        <v>108</v>
      </c>
      <c r="E58" s="51"/>
    </row>
    <row r="59" spans="1:5" ht="32.25" customHeight="1" x14ac:dyDescent="0.2">
      <c r="B59" s="342" t="s">
        <v>109</v>
      </c>
      <c r="C59" s="343"/>
      <c r="D59" s="97" t="s">
        <v>110</v>
      </c>
      <c r="E59" s="98" t="s">
        <v>111</v>
      </c>
    </row>
    <row r="60" spans="1:5" ht="16.5" customHeight="1" x14ac:dyDescent="0.2">
      <c r="A60" s="237" t="s">
        <v>387</v>
      </c>
      <c r="B60" s="339" t="s">
        <v>112</v>
      </c>
      <c r="C60" s="211" t="s">
        <v>113</v>
      </c>
      <c r="D60" s="81" t="s">
        <v>402</v>
      </c>
      <c r="E60" s="78" t="s">
        <v>403</v>
      </c>
    </row>
    <row r="61" spans="1:5" ht="16.5" customHeight="1" x14ac:dyDescent="0.2">
      <c r="A61" s="237" t="s">
        <v>388</v>
      </c>
      <c r="B61" s="340"/>
      <c r="C61" s="12" t="s">
        <v>114</v>
      </c>
      <c r="D61" s="82" t="s">
        <v>402</v>
      </c>
      <c r="E61" s="79" t="s">
        <v>403</v>
      </c>
    </row>
    <row r="62" spans="1:5" ht="16.5" customHeight="1" x14ac:dyDescent="0.2">
      <c r="A62" s="237" t="s">
        <v>389</v>
      </c>
      <c r="B62" s="341"/>
      <c r="C62" s="13" t="s">
        <v>115</v>
      </c>
      <c r="D62" s="83" t="s">
        <v>402</v>
      </c>
      <c r="E62" s="80" t="s">
        <v>403</v>
      </c>
    </row>
    <row r="65" spans="1:1" x14ac:dyDescent="0.2">
      <c r="A65" s="48" t="s">
        <v>390</v>
      </c>
    </row>
    <row r="66" spans="1:1" x14ac:dyDescent="0.2">
      <c r="A66" s="237">
        <v>18011002</v>
      </c>
    </row>
    <row r="67" spans="1:1" x14ac:dyDescent="0.2">
      <c r="A67" s="237">
        <v>18400500</v>
      </c>
    </row>
    <row r="68" spans="1:1" x14ac:dyDescent="0.2">
      <c r="A68" s="237">
        <v>18020100</v>
      </c>
    </row>
    <row r="69" spans="1:1" x14ac:dyDescent="0.2">
      <c r="A69" s="237" t="s">
        <v>391</v>
      </c>
    </row>
    <row r="70" spans="1:1" x14ac:dyDescent="0.2">
      <c r="A70" s="237" t="s">
        <v>392</v>
      </c>
    </row>
    <row r="71" spans="1:1" x14ac:dyDescent="0.2">
      <c r="A71" s="237" t="s">
        <v>393</v>
      </c>
    </row>
    <row r="72" spans="1:1" x14ac:dyDescent="0.2">
      <c r="A72" s="237" t="s">
        <v>394</v>
      </c>
    </row>
    <row r="73" spans="1:1" x14ac:dyDescent="0.2">
      <c r="A73" s="237" t="s">
        <v>395</v>
      </c>
    </row>
    <row r="74" spans="1:1" x14ac:dyDescent="0.2">
      <c r="A74" s="237">
        <v>18050400</v>
      </c>
    </row>
    <row r="75" spans="1:1" x14ac:dyDescent="0.2">
      <c r="A75" s="237">
        <v>18050500</v>
      </c>
    </row>
    <row r="76" spans="1:1" x14ac:dyDescent="0.2">
      <c r="A76" s="237" t="s">
        <v>396</v>
      </c>
    </row>
    <row r="77" spans="1:1" x14ac:dyDescent="0.2">
      <c r="A77" s="237" t="s">
        <v>397</v>
      </c>
    </row>
    <row r="78" spans="1:1" x14ac:dyDescent="0.2">
      <c r="A78" s="237" t="s">
        <v>398</v>
      </c>
    </row>
    <row r="79" spans="1:1" x14ac:dyDescent="0.2">
      <c r="A79" s="237" t="s">
        <v>399</v>
      </c>
    </row>
    <row r="80" spans="1:1" x14ac:dyDescent="0.2">
      <c r="A80" s="237" t="s">
        <v>400</v>
      </c>
    </row>
    <row r="81" spans="1:2" x14ac:dyDescent="0.2">
      <c r="A81" s="237">
        <v>18700100</v>
      </c>
    </row>
    <row r="83" spans="1:2" x14ac:dyDescent="0.2">
      <c r="A83" s="48" t="s">
        <v>401</v>
      </c>
    </row>
    <row r="84" spans="1:2" x14ac:dyDescent="0.2">
      <c r="A84" s="240">
        <v>18700360</v>
      </c>
    </row>
    <row r="85" spans="1:2" x14ac:dyDescent="0.2">
      <c r="A85" s="240">
        <v>18700370</v>
      </c>
    </row>
    <row r="96" spans="1:2" hidden="1" x14ac:dyDescent="0.2">
      <c r="B96" s="227">
        <f>SUM(E13:E37,C42:C52,C57,D60:D62)</f>
        <v>0</v>
      </c>
    </row>
  </sheetData>
  <mergeCells count="33">
    <mergeCell ref="E40:E41"/>
    <mergeCell ref="C40:C41"/>
    <mergeCell ref="B60:B62"/>
    <mergeCell ref="B59:C59"/>
    <mergeCell ref="C55:C56"/>
    <mergeCell ref="B40:B41"/>
    <mergeCell ref="B55:B56"/>
    <mergeCell ref="C19:D19"/>
    <mergeCell ref="C18:D18"/>
    <mergeCell ref="C32:C33"/>
    <mergeCell ref="C20:D20"/>
    <mergeCell ref="C22:D22"/>
    <mergeCell ref="C23:D23"/>
    <mergeCell ref="C24:C25"/>
    <mergeCell ref="C26:C27"/>
    <mergeCell ref="C28:C29"/>
    <mergeCell ref="C30:C31"/>
    <mergeCell ref="B8:G9"/>
    <mergeCell ref="B24:B37"/>
    <mergeCell ref="G11:G12"/>
    <mergeCell ref="F11:F12"/>
    <mergeCell ref="D40:D41"/>
    <mergeCell ref="E11:E12"/>
    <mergeCell ref="C13:D13"/>
    <mergeCell ref="C21:D21"/>
    <mergeCell ref="B10:D10"/>
    <mergeCell ref="C17:D17"/>
    <mergeCell ref="B11:D12"/>
    <mergeCell ref="C34:C35"/>
    <mergeCell ref="C36:C37"/>
    <mergeCell ref="C14:D14"/>
    <mergeCell ref="C15:D15"/>
    <mergeCell ref="C16:D16"/>
  </mergeCells>
  <dataValidations count="11">
    <dataValidation type="whole" operator="greaterThanOrEqual" allowBlank="1" showInputMessage="1" showErrorMessage="1" sqref="G24:G37 D60:E62 C57" xr:uid="{00000000-0002-0000-0100-000000000000}">
      <formula1>0</formula1>
    </dataValidation>
    <dataValidation type="whole" allowBlank="1" showInputMessage="1" showErrorMessage="1" sqref="E49" xr:uid="{84434ECE-82CD-45D9-B909-61FF3BD5C0E0}">
      <formula1>0</formula1>
      <formula2>9.99999999999999E+25</formula2>
    </dataValidation>
    <dataValidation type="whole" allowBlank="1" showInputMessage="1" showErrorMessage="1" sqref="F24 F32" xr:uid="{5AD8353C-64A2-4D6E-BA7C-0712D31299B6}">
      <formula1>0</formula1>
      <formula2>9.99999999999999E+37</formula2>
    </dataValidation>
    <dataValidation type="whole" allowBlank="1" showInputMessage="1" showErrorMessage="1" sqref="F25 F31" xr:uid="{274575E7-4CA0-4C28-B6D8-38347E0E31C9}">
      <formula1>0</formula1>
      <formula2>9.99999999999999E+45</formula2>
    </dataValidation>
    <dataValidation type="whole" allowBlank="1" showInputMessage="1" showErrorMessage="1" sqref="F26:F27" xr:uid="{369B4E93-2BD7-46A5-A38E-5876D8416962}">
      <formula1>0</formula1>
      <formula2>9.99999999999999E+44</formula2>
    </dataValidation>
    <dataValidation type="whole" allowBlank="1" showInputMessage="1" showErrorMessage="1" sqref="F28 F33" xr:uid="{85C1D486-A67A-49D3-B355-6A424F3D62CA}">
      <formula1>0</formula1>
      <formula2>9.99999999999999E+38</formula2>
    </dataValidation>
    <dataValidation type="whole" allowBlank="1" showInputMessage="1" showErrorMessage="1" sqref="F29 F37" xr:uid="{6039D412-B63D-493D-A105-D5BA113595C8}">
      <formula1>0</formula1>
      <formula2>9.99999999999999E+43</formula2>
    </dataValidation>
    <dataValidation type="whole" allowBlank="1" showInputMessage="1" showErrorMessage="1" sqref="F30" xr:uid="{1848C117-9832-46BD-B33E-159A05BDEE72}">
      <formula1>0</formula1>
      <formula2>9.99999999999999E+41</formula2>
    </dataValidation>
    <dataValidation type="whole" allowBlank="1" showInputMessage="1" showErrorMessage="1" sqref="F34" xr:uid="{02D8587A-1FF1-4092-900B-12035D612A3B}">
      <formula1>0</formula1>
      <formula2>9.99999999999999E+46</formula2>
    </dataValidation>
    <dataValidation type="whole" allowBlank="1" showInputMessage="1" showErrorMessage="1" sqref="F35:F36" xr:uid="{C983DC63-BB2D-495B-987F-EF0A8B748BF0}">
      <formula1>0</formula1>
      <formula2>9.99999999999999E+40</formula2>
    </dataValidation>
    <dataValidation allowBlank="1" showInputMessage="1" showErrorMessage="1" errorTitle="ERROR" error="Por favor ingrese solo Números." sqref="A51 A84:A85 A23" xr:uid="{3DCEC166-E65A-43FE-911B-4818232490CC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V646"/>
  <sheetViews>
    <sheetView showGridLines="0" zoomScaleNormal="100" workbookViewId="0"/>
  </sheetViews>
  <sheetFormatPr baseColWidth="10" defaultColWidth="11.42578125" defaultRowHeight="14.1" customHeight="1" x14ac:dyDescent="0.2"/>
  <cols>
    <col min="1" max="1" width="19.42578125" style="118" customWidth="1"/>
    <col min="2" max="2" width="13.28515625" style="118" customWidth="1"/>
    <col min="3" max="3" width="89.140625" style="121" customWidth="1"/>
    <col min="4" max="4" width="15.7109375" style="118" customWidth="1"/>
    <col min="5" max="5" width="17.5703125" style="118" customWidth="1"/>
    <col min="6" max="6" width="21.5703125" style="118" customWidth="1"/>
    <col min="7" max="7" width="15.7109375" style="118" customWidth="1"/>
    <col min="8" max="8" width="13.7109375" style="118" customWidth="1"/>
    <col min="9" max="9" width="13" style="118" customWidth="1"/>
    <col min="10" max="20" width="11.42578125" style="118"/>
    <col min="21" max="23" width="0" style="118" hidden="1" customWidth="1"/>
    <col min="24" max="16384" width="11.42578125" style="118"/>
  </cols>
  <sheetData>
    <row r="1" spans="1:22" s="52" customFormat="1" ht="14.1" customHeight="1" x14ac:dyDescent="0.15">
      <c r="B1" s="49" t="s">
        <v>58</v>
      </c>
      <c r="C1" s="116"/>
      <c r="V1" s="53"/>
    </row>
    <row r="2" spans="1:22" s="52" customFormat="1" ht="14.1" customHeight="1" x14ac:dyDescent="0.15">
      <c r="B2" s="49" t="str">
        <f>CONCATENATE("COMUNA: ",NOMBRE!B2,"  ","( ",NOMBRE!C2,NOMBRE!D2,NOMBRE!E2,NOMBRE!F2,NOMBRE!G2," )")</f>
        <v>COMUNA:   (  )</v>
      </c>
      <c r="C2" s="114"/>
      <c r="V2" s="53"/>
    </row>
    <row r="3" spans="1:22" s="52" customFormat="1" ht="14.1" customHeight="1" x14ac:dyDescent="0.15">
      <c r="B3" s="49" t="str">
        <f>CONCATENATE("ESTABLECIMIENTO/ESTRATEGIA: ",NOMBRE!B3,"  ","( ",NOMBRE!C3,NOMBRE!D3,NOMBRE!E3,NOMBRE!F3,NOMBRE!G3,NOMBRE!H3," )")</f>
        <v>ESTABLECIMIENTO/ESTRATEGIA:   (  )</v>
      </c>
      <c r="C3" s="116"/>
      <c r="V3" s="53"/>
    </row>
    <row r="4" spans="1:22" s="52" customFormat="1" ht="14.1" customHeight="1" x14ac:dyDescent="0.15">
      <c r="B4" s="49" t="str">
        <f>CONCATENATE("MES: ",NOMBRE!B6,"  ","( ",NOMBRE!C6,NOMBRE!D6," )")</f>
        <v>MES:   (  )</v>
      </c>
      <c r="C4" s="116"/>
      <c r="V4" s="53"/>
    </row>
    <row r="5" spans="1:22" s="52" customFormat="1" ht="14.1" customHeight="1" x14ac:dyDescent="0.15">
      <c r="B5" s="49" t="str">
        <f>CONCATENATE("AÑO: ",NOMBRE!B7)</f>
        <v>AÑO: 2025</v>
      </c>
      <c r="C5" s="116"/>
      <c r="V5" s="53"/>
    </row>
    <row r="6" spans="1:22" s="52" customFormat="1" ht="14.1" customHeight="1" x14ac:dyDescent="0.15">
      <c r="B6" s="362"/>
      <c r="C6" s="362"/>
      <c r="D6" s="362"/>
      <c r="V6" s="53"/>
    </row>
    <row r="7" spans="1:22" s="52" customFormat="1" ht="36.75" customHeight="1" x14ac:dyDescent="0.15">
      <c r="B7" s="376" t="s">
        <v>116</v>
      </c>
      <c r="C7" s="376"/>
      <c r="D7" s="376"/>
      <c r="E7" s="376"/>
      <c r="F7" s="376"/>
      <c r="G7" s="376"/>
      <c r="V7" s="53"/>
    </row>
    <row r="8" spans="1:22" s="52" customFormat="1" ht="14.1" customHeight="1" x14ac:dyDescent="0.15">
      <c r="B8" s="54"/>
      <c r="C8" s="113"/>
      <c r="V8" s="53"/>
    </row>
    <row r="9" spans="1:22" s="52" customFormat="1" ht="14.1" customHeight="1" x14ac:dyDescent="0.15">
      <c r="B9" s="117" t="s">
        <v>60</v>
      </c>
      <c r="C9" s="114"/>
      <c r="V9" s="53"/>
    </row>
    <row r="10" spans="1:22" ht="14.1" customHeight="1" x14ac:dyDescent="0.2">
      <c r="B10" s="373" t="s">
        <v>1</v>
      </c>
      <c r="C10" s="354" t="s">
        <v>61</v>
      </c>
      <c r="D10" s="369" t="s">
        <v>62</v>
      </c>
      <c r="E10" s="354" t="s">
        <v>63</v>
      </c>
      <c r="F10" s="374" t="s">
        <v>64</v>
      </c>
      <c r="G10" s="354" t="s">
        <v>117</v>
      </c>
    </row>
    <row r="11" spans="1:22" ht="18" customHeight="1" x14ac:dyDescent="0.2">
      <c r="B11" s="373"/>
      <c r="C11" s="355"/>
      <c r="D11" s="370"/>
      <c r="E11" s="355"/>
      <c r="F11" s="375"/>
      <c r="G11" s="355"/>
    </row>
    <row r="12" spans="1:22" ht="15" customHeight="1" x14ac:dyDescent="0.2">
      <c r="B12" s="365" t="s">
        <v>118</v>
      </c>
      <c r="C12" s="365"/>
      <c r="D12" s="356"/>
      <c r="E12" s="357"/>
      <c r="F12" s="357"/>
      <c r="G12" s="371"/>
    </row>
    <row r="13" spans="1:22" ht="15" customHeight="1" x14ac:dyDescent="0.2">
      <c r="A13" s="237">
        <v>80301036</v>
      </c>
      <c r="B13" s="55" t="s">
        <v>119</v>
      </c>
      <c r="C13" s="115" t="s">
        <v>120</v>
      </c>
      <c r="D13" s="63" t="s">
        <v>402</v>
      </c>
      <c r="E13" s="64" t="s">
        <v>403</v>
      </c>
      <c r="F13" s="108" t="s">
        <v>404</v>
      </c>
      <c r="G13" s="64" t="s">
        <v>406</v>
      </c>
    </row>
    <row r="14" spans="1:22" ht="15" customHeight="1" x14ac:dyDescent="0.2">
      <c r="A14" s="237">
        <v>80301041</v>
      </c>
      <c r="B14" s="55" t="s">
        <v>121</v>
      </c>
      <c r="C14" s="115" t="s">
        <v>122</v>
      </c>
      <c r="D14" s="63" t="s">
        <v>402</v>
      </c>
      <c r="E14" s="64" t="s">
        <v>403</v>
      </c>
      <c r="F14" s="108" t="s">
        <v>404</v>
      </c>
      <c r="G14" s="64" t="s">
        <v>406</v>
      </c>
    </row>
    <row r="15" spans="1:22" ht="21.95" customHeight="1" x14ac:dyDescent="0.2">
      <c r="A15" s="237">
        <v>80301045</v>
      </c>
      <c r="B15" s="55" t="s">
        <v>123</v>
      </c>
      <c r="C15" s="115" t="s">
        <v>124</v>
      </c>
      <c r="D15" s="63" t="s">
        <v>402</v>
      </c>
      <c r="E15" s="64" t="s">
        <v>403</v>
      </c>
      <c r="F15" s="108" t="s">
        <v>404</v>
      </c>
      <c r="G15" s="64" t="s">
        <v>406</v>
      </c>
    </row>
    <row r="16" spans="1:22" ht="15" customHeight="1" x14ac:dyDescent="0.2">
      <c r="A16" s="237">
        <v>80301065</v>
      </c>
      <c r="B16" s="55" t="s">
        <v>125</v>
      </c>
      <c r="C16" s="115" t="s">
        <v>126</v>
      </c>
      <c r="D16" s="63" t="s">
        <v>402</v>
      </c>
      <c r="E16" s="64" t="s">
        <v>403</v>
      </c>
      <c r="F16" s="108" t="s">
        <v>404</v>
      </c>
      <c r="G16" s="64" t="s">
        <v>406</v>
      </c>
    </row>
    <row r="17" spans="1:7" ht="15" customHeight="1" x14ac:dyDescent="0.2">
      <c r="A17" s="237">
        <v>80301067</v>
      </c>
      <c r="B17" s="55" t="s">
        <v>127</v>
      </c>
      <c r="C17" s="115" t="s">
        <v>128</v>
      </c>
      <c r="D17" s="63" t="s">
        <v>402</v>
      </c>
      <c r="E17" s="64" t="s">
        <v>403</v>
      </c>
      <c r="F17" s="108" t="s">
        <v>404</v>
      </c>
      <c r="G17" s="64" t="s">
        <v>406</v>
      </c>
    </row>
    <row r="18" spans="1:7" ht="15" customHeight="1" x14ac:dyDescent="0.2">
      <c r="A18" s="240">
        <v>82201010</v>
      </c>
      <c r="B18" s="252" t="s">
        <v>373</v>
      </c>
      <c r="C18" s="250" t="s">
        <v>374</v>
      </c>
      <c r="D18" s="63" t="s">
        <v>402</v>
      </c>
      <c r="E18" s="64" t="s">
        <v>403</v>
      </c>
      <c r="F18" s="108" t="s">
        <v>404</v>
      </c>
      <c r="G18" s="64" t="s">
        <v>406</v>
      </c>
    </row>
    <row r="19" spans="1:7" ht="15" customHeight="1" x14ac:dyDescent="0.2">
      <c r="A19" s="237">
        <v>80301086</v>
      </c>
      <c r="B19" s="55" t="s">
        <v>129</v>
      </c>
      <c r="C19" s="115" t="s">
        <v>130</v>
      </c>
      <c r="D19" s="63" t="s">
        <v>402</v>
      </c>
      <c r="E19" s="64" t="s">
        <v>403</v>
      </c>
      <c r="F19" s="108" t="s">
        <v>404</v>
      </c>
      <c r="G19" s="64" t="s">
        <v>406</v>
      </c>
    </row>
    <row r="20" spans="1:7" ht="15" customHeight="1" x14ac:dyDescent="0.2">
      <c r="A20" s="244"/>
      <c r="B20" s="363" t="s">
        <v>62</v>
      </c>
      <c r="C20" s="364"/>
      <c r="D20" s="166">
        <f>SUM(D13:D19)</f>
        <v>0</v>
      </c>
      <c r="E20" s="167">
        <f>SUM(E13:E19)</f>
        <v>0</v>
      </c>
      <c r="F20" s="168">
        <f>SUM(F13:F19)</f>
        <v>0</v>
      </c>
      <c r="G20" s="167">
        <f>SUM(G13:G19)</f>
        <v>0</v>
      </c>
    </row>
    <row r="21" spans="1:7" ht="15" customHeight="1" x14ac:dyDescent="0.2">
      <c r="B21" s="164"/>
      <c r="C21" s="164"/>
      <c r="D21" s="165"/>
      <c r="E21" s="165"/>
      <c r="F21" s="165"/>
      <c r="G21" s="165"/>
    </row>
    <row r="22" spans="1:7" ht="15" customHeight="1" x14ac:dyDescent="0.2">
      <c r="B22" s="365" t="s">
        <v>131</v>
      </c>
      <c r="C22" s="365"/>
      <c r="D22" s="366"/>
      <c r="E22" s="367"/>
      <c r="F22" s="367"/>
      <c r="G22" s="368"/>
    </row>
    <row r="23" spans="1:7" ht="15" customHeight="1" x14ac:dyDescent="0.2">
      <c r="A23" s="237">
        <v>80302005</v>
      </c>
      <c r="B23" s="55" t="s">
        <v>132</v>
      </c>
      <c r="C23" s="115" t="s">
        <v>133</v>
      </c>
      <c r="D23" s="63" t="s">
        <v>402</v>
      </c>
      <c r="E23" s="64" t="s">
        <v>403</v>
      </c>
      <c r="F23" s="108" t="s">
        <v>404</v>
      </c>
      <c r="G23" s="64" t="s">
        <v>406</v>
      </c>
    </row>
    <row r="24" spans="1:7" ht="15" customHeight="1" x14ac:dyDescent="0.2">
      <c r="A24" s="237">
        <v>80302013</v>
      </c>
      <c r="B24" s="55" t="s">
        <v>134</v>
      </c>
      <c r="C24" s="115" t="s">
        <v>135</v>
      </c>
      <c r="D24" s="63" t="s">
        <v>402</v>
      </c>
      <c r="E24" s="64" t="s">
        <v>403</v>
      </c>
      <c r="F24" s="108" t="s">
        <v>404</v>
      </c>
      <c r="G24" s="64" t="s">
        <v>406</v>
      </c>
    </row>
    <row r="25" spans="1:7" ht="15" customHeight="1" x14ac:dyDescent="0.2">
      <c r="A25" s="237">
        <v>80302067</v>
      </c>
      <c r="B25" s="55" t="s">
        <v>408</v>
      </c>
      <c r="C25" s="250" t="s">
        <v>409</v>
      </c>
      <c r="D25" s="63" t="s">
        <v>402</v>
      </c>
      <c r="E25" s="64" t="s">
        <v>403</v>
      </c>
      <c r="F25" s="108" t="s">
        <v>404</v>
      </c>
      <c r="G25" s="64" t="s">
        <v>406</v>
      </c>
    </row>
    <row r="26" spans="1:7" ht="15" customHeight="1" x14ac:dyDescent="0.2">
      <c r="A26" s="237">
        <v>80302068</v>
      </c>
      <c r="B26" s="55" t="s">
        <v>410</v>
      </c>
      <c r="C26" s="250" t="s">
        <v>411</v>
      </c>
      <c r="D26" s="63" t="s">
        <v>402</v>
      </c>
      <c r="E26" s="64" t="s">
        <v>403</v>
      </c>
      <c r="F26" s="108" t="s">
        <v>404</v>
      </c>
      <c r="G26" s="64" t="s">
        <v>406</v>
      </c>
    </row>
    <row r="27" spans="1:7" ht="15" customHeight="1" x14ac:dyDescent="0.2">
      <c r="A27" s="237">
        <v>80302023</v>
      </c>
      <c r="B27" s="55" t="s">
        <v>136</v>
      </c>
      <c r="C27" s="115" t="s">
        <v>137</v>
      </c>
      <c r="D27" s="63" t="s">
        <v>402</v>
      </c>
      <c r="E27" s="64" t="s">
        <v>403</v>
      </c>
      <c r="F27" s="108" t="s">
        <v>404</v>
      </c>
      <c r="G27" s="64" t="s">
        <v>406</v>
      </c>
    </row>
    <row r="28" spans="1:7" ht="15" customHeight="1" x14ac:dyDescent="0.2">
      <c r="A28" s="237">
        <v>80302024</v>
      </c>
      <c r="B28" s="55" t="s">
        <v>138</v>
      </c>
      <c r="C28" s="115" t="s">
        <v>139</v>
      </c>
      <c r="D28" s="63" t="s">
        <v>402</v>
      </c>
      <c r="E28" s="64" t="s">
        <v>403</v>
      </c>
      <c r="F28" s="108" t="s">
        <v>404</v>
      </c>
      <c r="G28" s="64" t="s">
        <v>406</v>
      </c>
    </row>
    <row r="29" spans="1:7" ht="15" customHeight="1" x14ac:dyDescent="0.2">
      <c r="A29" s="237">
        <v>80302032</v>
      </c>
      <c r="B29" s="55" t="s">
        <v>140</v>
      </c>
      <c r="C29" s="115" t="s">
        <v>141</v>
      </c>
      <c r="D29" s="63" t="s">
        <v>402</v>
      </c>
      <c r="E29" s="64" t="s">
        <v>403</v>
      </c>
      <c r="F29" s="108" t="s">
        <v>404</v>
      </c>
      <c r="G29" s="64" t="s">
        <v>406</v>
      </c>
    </row>
    <row r="30" spans="1:7" ht="21.95" customHeight="1" x14ac:dyDescent="0.2">
      <c r="A30" s="237">
        <v>80302034</v>
      </c>
      <c r="B30" s="55" t="s">
        <v>142</v>
      </c>
      <c r="C30" s="115" t="s">
        <v>143</v>
      </c>
      <c r="D30" s="63" t="s">
        <v>402</v>
      </c>
      <c r="E30" s="64" t="s">
        <v>403</v>
      </c>
      <c r="F30" s="108" t="s">
        <v>404</v>
      </c>
      <c r="G30" s="64" t="s">
        <v>406</v>
      </c>
    </row>
    <row r="31" spans="1:7" ht="31.5" x14ac:dyDescent="0.2">
      <c r="A31" s="245">
        <v>80302035</v>
      </c>
      <c r="B31" s="55" t="s">
        <v>144</v>
      </c>
      <c r="C31" s="115" t="s">
        <v>145</v>
      </c>
      <c r="D31" s="63" t="s">
        <v>402</v>
      </c>
      <c r="E31" s="64" t="s">
        <v>403</v>
      </c>
      <c r="F31" s="108" t="s">
        <v>404</v>
      </c>
      <c r="G31" s="64" t="s">
        <v>406</v>
      </c>
    </row>
    <row r="32" spans="1:7" ht="15" customHeight="1" x14ac:dyDescent="0.2">
      <c r="A32" s="245">
        <v>80302040</v>
      </c>
      <c r="B32" s="55" t="s">
        <v>146</v>
      </c>
      <c r="C32" s="115" t="s">
        <v>147</v>
      </c>
      <c r="D32" s="63" t="s">
        <v>402</v>
      </c>
      <c r="E32" s="64" t="s">
        <v>403</v>
      </c>
      <c r="F32" s="108" t="s">
        <v>404</v>
      </c>
      <c r="G32" s="64" t="s">
        <v>406</v>
      </c>
    </row>
    <row r="33" spans="1:7" ht="15" customHeight="1" x14ac:dyDescent="0.2">
      <c r="A33" s="237">
        <v>80302047</v>
      </c>
      <c r="B33" s="55" t="s">
        <v>148</v>
      </c>
      <c r="C33" s="115" t="s">
        <v>149</v>
      </c>
      <c r="D33" s="63" t="s">
        <v>402</v>
      </c>
      <c r="E33" s="64" t="s">
        <v>403</v>
      </c>
      <c r="F33" s="108" t="s">
        <v>404</v>
      </c>
      <c r="G33" s="64" t="s">
        <v>406</v>
      </c>
    </row>
    <row r="34" spans="1:7" ht="12.75" x14ac:dyDescent="0.2">
      <c r="A34" s="237">
        <v>80302048</v>
      </c>
      <c r="B34" s="55" t="s">
        <v>150</v>
      </c>
      <c r="C34" s="115" t="s">
        <v>151</v>
      </c>
      <c r="D34" s="63" t="s">
        <v>402</v>
      </c>
      <c r="E34" s="64" t="s">
        <v>403</v>
      </c>
      <c r="F34" s="108" t="s">
        <v>404</v>
      </c>
      <c r="G34" s="64" t="s">
        <v>406</v>
      </c>
    </row>
    <row r="35" spans="1:7" ht="15" customHeight="1" x14ac:dyDescent="0.2">
      <c r="A35" s="237">
        <v>80302057</v>
      </c>
      <c r="B35" s="55" t="s">
        <v>152</v>
      </c>
      <c r="C35" s="115" t="s">
        <v>153</v>
      </c>
      <c r="D35" s="63" t="s">
        <v>402</v>
      </c>
      <c r="E35" s="64" t="s">
        <v>403</v>
      </c>
      <c r="F35" s="108" t="s">
        <v>404</v>
      </c>
      <c r="G35" s="64" t="s">
        <v>406</v>
      </c>
    </row>
    <row r="36" spans="1:7" ht="15" customHeight="1" x14ac:dyDescent="0.2">
      <c r="A36" s="237">
        <v>80302075</v>
      </c>
      <c r="B36" s="55" t="s">
        <v>412</v>
      </c>
      <c r="C36" s="250" t="s">
        <v>413</v>
      </c>
      <c r="D36" s="63" t="s">
        <v>402</v>
      </c>
      <c r="E36" s="64" t="s">
        <v>403</v>
      </c>
      <c r="F36" s="108" t="s">
        <v>404</v>
      </c>
      <c r="G36" s="64" t="s">
        <v>406</v>
      </c>
    </row>
    <row r="37" spans="1:7" ht="21.95" customHeight="1" x14ac:dyDescent="0.2">
      <c r="A37" s="237">
        <v>80302076</v>
      </c>
      <c r="B37" s="55" t="s">
        <v>154</v>
      </c>
      <c r="C37" s="115" t="s">
        <v>155</v>
      </c>
      <c r="D37" s="63" t="s">
        <v>402</v>
      </c>
      <c r="E37" s="64" t="s">
        <v>403</v>
      </c>
      <c r="F37" s="108" t="s">
        <v>404</v>
      </c>
      <c r="G37" s="64" t="s">
        <v>406</v>
      </c>
    </row>
    <row r="38" spans="1:7" ht="15" customHeight="1" x14ac:dyDescent="0.2">
      <c r="A38" s="237">
        <v>80302063</v>
      </c>
      <c r="B38" s="55" t="s">
        <v>156</v>
      </c>
      <c r="C38" s="115" t="s">
        <v>157</v>
      </c>
      <c r="D38" s="63" t="s">
        <v>402</v>
      </c>
      <c r="E38" s="64" t="s">
        <v>403</v>
      </c>
      <c r="F38" s="108" t="s">
        <v>404</v>
      </c>
      <c r="G38" s="64" t="s">
        <v>406</v>
      </c>
    </row>
    <row r="39" spans="1:7" ht="14.25" customHeight="1" x14ac:dyDescent="0.2">
      <c r="A39" s="237">
        <v>80302064</v>
      </c>
      <c r="B39" s="55" t="s">
        <v>158</v>
      </c>
      <c r="C39" s="115" t="s">
        <v>159</v>
      </c>
      <c r="D39" s="63" t="s">
        <v>402</v>
      </c>
      <c r="E39" s="64" t="s">
        <v>403</v>
      </c>
      <c r="F39" s="108" t="s">
        <v>404</v>
      </c>
      <c r="G39" s="64" t="s">
        <v>406</v>
      </c>
    </row>
    <row r="40" spans="1:7" ht="15" customHeight="1" x14ac:dyDescent="0.2">
      <c r="A40" s="240">
        <v>82201011</v>
      </c>
      <c r="B40" s="55" t="s">
        <v>160</v>
      </c>
      <c r="C40" s="250" t="s">
        <v>161</v>
      </c>
      <c r="D40" s="63" t="s">
        <v>402</v>
      </c>
      <c r="E40" s="64" t="s">
        <v>403</v>
      </c>
      <c r="F40" s="108" t="s">
        <v>404</v>
      </c>
      <c r="G40" s="64" t="s">
        <v>406</v>
      </c>
    </row>
    <row r="41" spans="1:7" ht="15" customHeight="1" x14ac:dyDescent="0.2">
      <c r="A41" s="248">
        <v>82201012</v>
      </c>
      <c r="B41" s="55" t="s">
        <v>375</v>
      </c>
      <c r="C41" s="250" t="s">
        <v>376</v>
      </c>
      <c r="D41" s="63" t="s">
        <v>402</v>
      </c>
      <c r="E41" s="64" t="s">
        <v>403</v>
      </c>
      <c r="F41" s="108" t="s">
        <v>404</v>
      </c>
      <c r="G41" s="64" t="s">
        <v>406</v>
      </c>
    </row>
    <row r="42" spans="1:7" ht="15" customHeight="1" x14ac:dyDescent="0.2">
      <c r="A42" s="248">
        <v>82201013</v>
      </c>
      <c r="B42" s="55" t="s">
        <v>162</v>
      </c>
      <c r="C42" s="250" t="s">
        <v>163</v>
      </c>
      <c r="D42" s="63" t="s">
        <v>402</v>
      </c>
      <c r="E42" s="64" t="s">
        <v>403</v>
      </c>
      <c r="F42" s="108" t="s">
        <v>404</v>
      </c>
      <c r="G42" s="64" t="s">
        <v>406</v>
      </c>
    </row>
    <row r="43" spans="1:7" ht="15" customHeight="1" x14ac:dyDescent="0.2">
      <c r="B43" s="348" t="s">
        <v>62</v>
      </c>
      <c r="C43" s="372"/>
      <c r="D43" s="155">
        <f>SUM(D23:D42)</f>
        <v>0</v>
      </c>
      <c r="E43" s="155">
        <f>SUM(E23:E42)</f>
        <v>0</v>
      </c>
      <c r="F43" s="156">
        <f>SUM(F23:F42)</f>
        <v>0</v>
      </c>
      <c r="G43" s="155">
        <f>SUM(G23:G42)</f>
        <v>0</v>
      </c>
    </row>
    <row r="44" spans="1:7" ht="15" customHeight="1" x14ac:dyDescent="0.2">
      <c r="B44" s="124"/>
      <c r="C44" s="124"/>
      <c r="D44" s="129"/>
      <c r="E44" s="129"/>
      <c r="F44" s="129"/>
      <c r="G44" s="129"/>
    </row>
    <row r="45" spans="1:7" ht="15" customHeight="1" x14ac:dyDescent="0.2">
      <c r="B45" s="350" t="s">
        <v>164</v>
      </c>
      <c r="C45" s="351"/>
      <c r="D45" s="377"/>
      <c r="E45" s="377"/>
      <c r="F45" s="377"/>
      <c r="G45" s="378"/>
    </row>
    <row r="46" spans="1:7" ht="15" customHeight="1" x14ac:dyDescent="0.2">
      <c r="A46" s="237">
        <v>80303024</v>
      </c>
      <c r="B46" s="230" t="s">
        <v>165</v>
      </c>
      <c r="C46" s="198" t="s">
        <v>166</v>
      </c>
      <c r="D46" s="63" t="s">
        <v>402</v>
      </c>
      <c r="E46" s="64" t="s">
        <v>403</v>
      </c>
      <c r="F46" s="108" t="s">
        <v>404</v>
      </c>
      <c r="G46" s="64" t="s">
        <v>406</v>
      </c>
    </row>
    <row r="47" spans="1:7" ht="15" customHeight="1" x14ac:dyDescent="0.2">
      <c r="A47" s="237">
        <v>80303026</v>
      </c>
      <c r="B47" s="55" t="s">
        <v>167</v>
      </c>
      <c r="C47" s="115" t="s">
        <v>168</v>
      </c>
      <c r="D47" s="63" t="s">
        <v>402</v>
      </c>
      <c r="E47" s="64" t="s">
        <v>403</v>
      </c>
      <c r="F47" s="108" t="s">
        <v>404</v>
      </c>
      <c r="G47" s="64" t="s">
        <v>406</v>
      </c>
    </row>
    <row r="48" spans="1:7" ht="15" customHeight="1" x14ac:dyDescent="0.2">
      <c r="A48" s="237">
        <v>80303027</v>
      </c>
      <c r="B48" s="55" t="s">
        <v>169</v>
      </c>
      <c r="C48" s="115" t="s">
        <v>170</v>
      </c>
      <c r="D48" s="63" t="s">
        <v>402</v>
      </c>
      <c r="E48" s="64" t="s">
        <v>403</v>
      </c>
      <c r="F48" s="108" t="s">
        <v>404</v>
      </c>
      <c r="G48" s="64" t="s">
        <v>406</v>
      </c>
    </row>
    <row r="49" spans="1:7" ht="15" customHeight="1" x14ac:dyDescent="0.2">
      <c r="A49" s="238"/>
      <c r="B49" s="348" t="s">
        <v>62</v>
      </c>
      <c r="C49" s="349"/>
      <c r="D49" s="162">
        <f>SUM(D46:D48)</f>
        <v>0</v>
      </c>
      <c r="E49" s="155">
        <f>SUM(E46:E48)</f>
        <v>0</v>
      </c>
      <c r="F49" s="156">
        <f>SUM(F46:F48)</f>
        <v>0</v>
      </c>
      <c r="G49" s="157">
        <f>SUM(G46:G48)</f>
        <v>0</v>
      </c>
    </row>
    <row r="50" spans="1:7" ht="15" customHeight="1" x14ac:dyDescent="0.2">
      <c r="B50" s="124"/>
      <c r="C50" s="124"/>
      <c r="D50" s="129"/>
      <c r="E50" s="129"/>
      <c r="F50" s="129"/>
      <c r="G50" s="129"/>
    </row>
    <row r="51" spans="1:7" ht="15" customHeight="1" x14ac:dyDescent="0.2">
      <c r="B51" s="350" t="s">
        <v>74</v>
      </c>
      <c r="C51" s="351"/>
      <c r="D51" s="379"/>
      <c r="E51" s="379"/>
      <c r="F51" s="379"/>
      <c r="G51" s="380"/>
    </row>
    <row r="52" spans="1:7" ht="15" customHeight="1" x14ac:dyDescent="0.2">
      <c r="A52" s="237">
        <v>80305019</v>
      </c>
      <c r="B52" s="231" t="s">
        <v>171</v>
      </c>
      <c r="C52" s="198" t="s">
        <v>172</v>
      </c>
      <c r="D52" s="63" t="s">
        <v>402</v>
      </c>
      <c r="E52" s="64" t="s">
        <v>403</v>
      </c>
      <c r="F52" s="108" t="s">
        <v>404</v>
      </c>
      <c r="G52" s="64" t="s">
        <v>406</v>
      </c>
    </row>
    <row r="53" spans="1:7" ht="15" customHeight="1" x14ac:dyDescent="0.2">
      <c r="A53" s="237">
        <v>80305020</v>
      </c>
      <c r="B53" s="56" t="s">
        <v>173</v>
      </c>
      <c r="C53" s="115" t="s">
        <v>174</v>
      </c>
      <c r="D53" s="63" t="s">
        <v>402</v>
      </c>
      <c r="E53" s="64" t="s">
        <v>403</v>
      </c>
      <c r="F53" s="108" t="s">
        <v>404</v>
      </c>
      <c r="G53" s="64" t="s">
        <v>406</v>
      </c>
    </row>
    <row r="54" spans="1:7" ht="15" customHeight="1" x14ac:dyDescent="0.2">
      <c r="A54" s="238"/>
      <c r="B54" s="348" t="s">
        <v>62</v>
      </c>
      <c r="C54" s="349"/>
      <c r="D54" s="162">
        <f>SUM(D52:D53)</f>
        <v>0</v>
      </c>
      <c r="E54" s="155">
        <f>SUM(E52:E53)</f>
        <v>0</v>
      </c>
      <c r="F54" s="156">
        <f>SUM(F52:F53)</f>
        <v>0</v>
      </c>
      <c r="G54" s="157">
        <f>SUM(G52:G53)</f>
        <v>0</v>
      </c>
    </row>
    <row r="55" spans="1:7" ht="15" customHeight="1" x14ac:dyDescent="0.2">
      <c r="B55" s="124"/>
      <c r="C55" s="124"/>
      <c r="D55" s="129"/>
      <c r="E55" s="129"/>
      <c r="F55" s="129"/>
      <c r="G55" s="129"/>
    </row>
    <row r="56" spans="1:7" ht="15" customHeight="1" x14ac:dyDescent="0.2">
      <c r="B56" s="350" t="s">
        <v>76</v>
      </c>
      <c r="C56" s="351"/>
      <c r="D56" s="381"/>
      <c r="E56" s="379"/>
      <c r="F56" s="379"/>
      <c r="G56" s="380"/>
    </row>
    <row r="57" spans="1:7" ht="15" customHeight="1" x14ac:dyDescent="0.2">
      <c r="A57" s="237">
        <v>80306002</v>
      </c>
      <c r="B57" s="56" t="s">
        <v>175</v>
      </c>
      <c r="C57" s="115" t="s">
        <v>176</v>
      </c>
      <c r="D57" s="63" t="s">
        <v>402</v>
      </c>
      <c r="E57" s="64" t="s">
        <v>403</v>
      </c>
      <c r="F57" s="108" t="s">
        <v>404</v>
      </c>
      <c r="G57" s="64" t="s">
        <v>406</v>
      </c>
    </row>
    <row r="58" spans="1:7" ht="15" customHeight="1" x14ac:dyDescent="0.2">
      <c r="A58" s="237">
        <v>80306004</v>
      </c>
      <c r="B58" s="56" t="s">
        <v>177</v>
      </c>
      <c r="C58" s="115" t="s">
        <v>178</v>
      </c>
      <c r="D58" s="63" t="s">
        <v>402</v>
      </c>
      <c r="E58" s="64" t="s">
        <v>403</v>
      </c>
      <c r="F58" s="108" t="s">
        <v>404</v>
      </c>
      <c r="G58" s="64" t="s">
        <v>406</v>
      </c>
    </row>
    <row r="59" spans="1:7" ht="15" customHeight="1" x14ac:dyDescent="0.2">
      <c r="A59" s="237">
        <v>80306005</v>
      </c>
      <c r="B59" s="56" t="s">
        <v>179</v>
      </c>
      <c r="C59" s="115" t="s">
        <v>180</v>
      </c>
      <c r="D59" s="63" t="s">
        <v>402</v>
      </c>
      <c r="E59" s="64" t="s">
        <v>403</v>
      </c>
      <c r="F59" s="108" t="s">
        <v>404</v>
      </c>
      <c r="G59" s="64" t="s">
        <v>406</v>
      </c>
    </row>
    <row r="60" spans="1:7" ht="15" customHeight="1" x14ac:dyDescent="0.2">
      <c r="A60" s="237">
        <v>80306007</v>
      </c>
      <c r="B60" s="56" t="s">
        <v>181</v>
      </c>
      <c r="C60" s="115" t="s">
        <v>182</v>
      </c>
      <c r="D60" s="63" t="s">
        <v>402</v>
      </c>
      <c r="E60" s="64" t="s">
        <v>403</v>
      </c>
      <c r="F60" s="108" t="s">
        <v>404</v>
      </c>
      <c r="G60" s="64" t="s">
        <v>406</v>
      </c>
    </row>
    <row r="61" spans="1:7" ht="12.75" x14ac:dyDescent="0.2">
      <c r="A61" s="237">
        <v>80306011</v>
      </c>
      <c r="B61" s="56" t="s">
        <v>183</v>
      </c>
      <c r="C61" s="115" t="s">
        <v>184</v>
      </c>
      <c r="D61" s="63" t="s">
        <v>402</v>
      </c>
      <c r="E61" s="64" t="s">
        <v>403</v>
      </c>
      <c r="F61" s="108" t="s">
        <v>404</v>
      </c>
      <c r="G61" s="64" t="s">
        <v>406</v>
      </c>
    </row>
    <row r="62" spans="1:7" ht="15" customHeight="1" x14ac:dyDescent="0.2">
      <c r="A62" s="237">
        <v>80306016</v>
      </c>
      <c r="B62" s="56" t="s">
        <v>185</v>
      </c>
      <c r="C62" s="115" t="s">
        <v>186</v>
      </c>
      <c r="D62" s="63" t="s">
        <v>402</v>
      </c>
      <c r="E62" s="64" t="s">
        <v>403</v>
      </c>
      <c r="F62" s="108" t="s">
        <v>404</v>
      </c>
      <c r="G62" s="64" t="s">
        <v>406</v>
      </c>
    </row>
    <row r="63" spans="1:7" ht="21.95" customHeight="1" x14ac:dyDescent="0.2">
      <c r="A63" s="237">
        <v>80306026</v>
      </c>
      <c r="B63" s="56" t="s">
        <v>414</v>
      </c>
      <c r="C63" s="250" t="s">
        <v>415</v>
      </c>
      <c r="D63" s="63" t="s">
        <v>402</v>
      </c>
      <c r="E63" s="64" t="s">
        <v>403</v>
      </c>
      <c r="F63" s="108" t="s">
        <v>404</v>
      </c>
      <c r="G63" s="64" t="s">
        <v>406</v>
      </c>
    </row>
    <row r="64" spans="1:7" ht="15" customHeight="1" x14ac:dyDescent="0.2">
      <c r="A64" s="237">
        <v>80306038</v>
      </c>
      <c r="B64" s="55" t="s">
        <v>187</v>
      </c>
      <c r="C64" s="115" t="s">
        <v>188</v>
      </c>
      <c r="D64" s="63" t="s">
        <v>402</v>
      </c>
      <c r="E64" s="64" t="s">
        <v>403</v>
      </c>
      <c r="F64" s="108" t="s">
        <v>404</v>
      </c>
      <c r="G64" s="64" t="s">
        <v>406</v>
      </c>
    </row>
    <row r="65" spans="1:7" ht="15" customHeight="1" x14ac:dyDescent="0.2">
      <c r="A65" s="237">
        <v>80306042</v>
      </c>
      <c r="B65" s="56" t="s">
        <v>189</v>
      </c>
      <c r="C65" s="115" t="s">
        <v>190</v>
      </c>
      <c r="D65" s="63" t="s">
        <v>402</v>
      </c>
      <c r="E65" s="64" t="s">
        <v>403</v>
      </c>
      <c r="F65" s="108" t="s">
        <v>404</v>
      </c>
      <c r="G65" s="64" t="s">
        <v>406</v>
      </c>
    </row>
    <row r="66" spans="1:7" ht="21" x14ac:dyDescent="0.2">
      <c r="A66" s="245">
        <v>80306051</v>
      </c>
      <c r="B66" s="56" t="s">
        <v>191</v>
      </c>
      <c r="C66" s="115" t="s">
        <v>192</v>
      </c>
      <c r="D66" s="63" t="s">
        <v>402</v>
      </c>
      <c r="E66" s="64" t="s">
        <v>403</v>
      </c>
      <c r="F66" s="108" t="s">
        <v>404</v>
      </c>
      <c r="G66" s="64" t="s">
        <v>406</v>
      </c>
    </row>
    <row r="67" spans="1:7" ht="15" customHeight="1" x14ac:dyDescent="0.2">
      <c r="A67" s="237">
        <v>80306052</v>
      </c>
      <c r="B67" s="56" t="s">
        <v>193</v>
      </c>
      <c r="C67" s="115" t="s">
        <v>194</v>
      </c>
      <c r="D67" s="63" t="s">
        <v>402</v>
      </c>
      <c r="E67" s="64" t="s">
        <v>403</v>
      </c>
      <c r="F67" s="108" t="s">
        <v>404</v>
      </c>
      <c r="G67" s="64" t="s">
        <v>406</v>
      </c>
    </row>
    <row r="68" spans="1:7" ht="21.95" customHeight="1" x14ac:dyDescent="0.2">
      <c r="A68" s="237">
        <v>80306048</v>
      </c>
      <c r="B68" s="55" t="s">
        <v>416</v>
      </c>
      <c r="C68" s="250" t="s">
        <v>417</v>
      </c>
      <c r="D68" s="63" t="s">
        <v>402</v>
      </c>
      <c r="E68" s="64" t="s">
        <v>403</v>
      </c>
      <c r="F68" s="108" t="s">
        <v>404</v>
      </c>
      <c r="G68" s="64" t="s">
        <v>406</v>
      </c>
    </row>
    <row r="69" spans="1:7" ht="21" x14ac:dyDescent="0.2">
      <c r="A69" s="237">
        <v>80306059</v>
      </c>
      <c r="B69" s="56" t="s">
        <v>195</v>
      </c>
      <c r="C69" s="115" t="s">
        <v>196</v>
      </c>
      <c r="D69" s="63" t="s">
        <v>402</v>
      </c>
      <c r="E69" s="64" t="s">
        <v>403</v>
      </c>
      <c r="F69" s="108" t="s">
        <v>404</v>
      </c>
      <c r="G69" s="64" t="s">
        <v>406</v>
      </c>
    </row>
    <row r="70" spans="1:7" ht="15" customHeight="1" x14ac:dyDescent="0.2">
      <c r="A70" s="237">
        <v>80306169</v>
      </c>
      <c r="B70" s="56" t="s">
        <v>418</v>
      </c>
      <c r="C70" s="250" t="s">
        <v>419</v>
      </c>
      <c r="D70" s="63" t="s">
        <v>402</v>
      </c>
      <c r="E70" s="64" t="s">
        <v>403</v>
      </c>
      <c r="F70" s="108" t="s">
        <v>404</v>
      </c>
      <c r="G70" s="64" t="s">
        <v>406</v>
      </c>
    </row>
    <row r="71" spans="1:7" ht="15" customHeight="1" x14ac:dyDescent="0.2">
      <c r="A71" s="237">
        <v>80306081</v>
      </c>
      <c r="B71" s="57" t="s">
        <v>197</v>
      </c>
      <c r="C71" s="123" t="s">
        <v>198</v>
      </c>
      <c r="D71" s="63" t="s">
        <v>402</v>
      </c>
      <c r="E71" s="64" t="s">
        <v>403</v>
      </c>
      <c r="F71" s="108" t="s">
        <v>404</v>
      </c>
      <c r="G71" s="64" t="s">
        <v>406</v>
      </c>
    </row>
    <row r="72" spans="1:7" ht="15" customHeight="1" x14ac:dyDescent="0.2">
      <c r="A72" s="240">
        <v>80306112</v>
      </c>
      <c r="B72" s="260" t="s">
        <v>420</v>
      </c>
      <c r="C72" s="259" t="s">
        <v>421</v>
      </c>
      <c r="D72" s="65" t="s">
        <v>402</v>
      </c>
      <c r="E72" s="66" t="s">
        <v>403</v>
      </c>
      <c r="F72" s="109" t="s">
        <v>404</v>
      </c>
      <c r="G72" s="66" t="s">
        <v>406</v>
      </c>
    </row>
    <row r="73" spans="1:7" ht="15" customHeight="1" x14ac:dyDescent="0.2">
      <c r="A73" s="238"/>
      <c r="B73" s="348" t="s">
        <v>62</v>
      </c>
      <c r="C73" s="372"/>
      <c r="D73" s="163">
        <f>SUM(D57:D72)</f>
        <v>0</v>
      </c>
      <c r="E73" s="155">
        <f>SUM(E57:E72)</f>
        <v>0</v>
      </c>
      <c r="F73" s="156">
        <f>SUM(F57:F72)</f>
        <v>0</v>
      </c>
      <c r="G73" s="155">
        <f>SUM(G57:G72)</f>
        <v>0</v>
      </c>
    </row>
    <row r="74" spans="1:7" ht="15" customHeight="1" x14ac:dyDescent="0.2">
      <c r="B74" s="229"/>
      <c r="C74" s="229"/>
      <c r="D74" s="162"/>
      <c r="E74" s="162"/>
      <c r="F74" s="162"/>
      <c r="G74" s="162"/>
    </row>
    <row r="75" spans="1:7" ht="15" customHeight="1" x14ac:dyDescent="0.2">
      <c r="B75" s="383" t="s">
        <v>422</v>
      </c>
      <c r="C75" s="384"/>
      <c r="D75" s="232"/>
      <c r="E75" s="233"/>
      <c r="F75" s="233"/>
      <c r="G75" s="234"/>
    </row>
    <row r="76" spans="1:7" ht="15" customHeight="1" x14ac:dyDescent="0.2">
      <c r="A76" s="237">
        <v>80308004</v>
      </c>
      <c r="B76" s="56" t="s">
        <v>199</v>
      </c>
      <c r="C76" s="115" t="s">
        <v>200</v>
      </c>
      <c r="D76" s="63" t="s">
        <v>402</v>
      </c>
      <c r="E76" s="64" t="s">
        <v>403</v>
      </c>
      <c r="F76" s="108" t="s">
        <v>404</v>
      </c>
      <c r="G76" s="64" t="s">
        <v>406</v>
      </c>
    </row>
    <row r="77" spans="1:7" ht="15" customHeight="1" x14ac:dyDescent="0.2">
      <c r="A77" s="237">
        <v>80308005</v>
      </c>
      <c r="B77" s="56" t="s">
        <v>201</v>
      </c>
      <c r="C77" s="115" t="s">
        <v>202</v>
      </c>
      <c r="D77" s="63" t="s">
        <v>402</v>
      </c>
      <c r="E77" s="64" t="s">
        <v>403</v>
      </c>
      <c r="F77" s="108" t="s">
        <v>404</v>
      </c>
      <c r="G77" s="64" t="s">
        <v>406</v>
      </c>
    </row>
    <row r="78" spans="1:7" ht="15" customHeight="1" x14ac:dyDescent="0.2">
      <c r="A78" s="238"/>
      <c r="B78" s="348" t="s">
        <v>62</v>
      </c>
      <c r="C78" s="372"/>
      <c r="D78" s="163">
        <f>SUM(D76:D77)</f>
        <v>0</v>
      </c>
      <c r="E78" s="155">
        <f>SUM(E76:E77)</f>
        <v>0</v>
      </c>
      <c r="F78" s="156">
        <f>SUM(F76:F77)</f>
        <v>0</v>
      </c>
      <c r="G78" s="157">
        <f>SUM(G76:G77)</f>
        <v>0</v>
      </c>
    </row>
    <row r="79" spans="1:7" ht="15" customHeight="1" x14ac:dyDescent="0.2">
      <c r="B79" s="124"/>
      <c r="C79" s="124"/>
      <c r="D79" s="129"/>
      <c r="E79" s="129"/>
      <c r="F79" s="129"/>
      <c r="G79" s="129"/>
    </row>
    <row r="80" spans="1:7" ht="15" customHeight="1" x14ac:dyDescent="0.2">
      <c r="B80" s="350" t="s">
        <v>203</v>
      </c>
      <c r="C80" s="385"/>
      <c r="D80" s="131"/>
      <c r="E80" s="119"/>
      <c r="F80" s="119"/>
      <c r="G80" s="130"/>
    </row>
    <row r="81" spans="1:7" ht="15" customHeight="1" x14ac:dyDescent="0.2">
      <c r="A81" s="237">
        <v>80309010</v>
      </c>
      <c r="B81" s="56" t="s">
        <v>204</v>
      </c>
      <c r="C81" s="115" t="s">
        <v>205</v>
      </c>
      <c r="D81" s="63" t="s">
        <v>402</v>
      </c>
      <c r="E81" s="64" t="s">
        <v>403</v>
      </c>
      <c r="F81" s="108" t="s">
        <v>404</v>
      </c>
      <c r="G81" s="64" t="s">
        <v>406</v>
      </c>
    </row>
    <row r="82" spans="1:7" ht="15" customHeight="1" x14ac:dyDescent="0.2">
      <c r="A82" s="237">
        <v>80309013</v>
      </c>
      <c r="B82" s="56" t="s">
        <v>206</v>
      </c>
      <c r="C82" s="115" t="s">
        <v>207</v>
      </c>
      <c r="D82" s="63" t="s">
        <v>402</v>
      </c>
      <c r="E82" s="64" t="s">
        <v>403</v>
      </c>
      <c r="F82" s="108" t="s">
        <v>404</v>
      </c>
      <c r="G82" s="64" t="s">
        <v>406</v>
      </c>
    </row>
    <row r="83" spans="1:7" ht="15" customHeight="1" x14ac:dyDescent="0.2">
      <c r="A83" s="237">
        <v>80309014</v>
      </c>
      <c r="B83" s="56" t="s">
        <v>208</v>
      </c>
      <c r="C83" s="115" t="s">
        <v>209</v>
      </c>
      <c r="D83" s="63" t="s">
        <v>402</v>
      </c>
      <c r="E83" s="64" t="s">
        <v>403</v>
      </c>
      <c r="F83" s="108" t="s">
        <v>404</v>
      </c>
      <c r="G83" s="64" t="s">
        <v>406</v>
      </c>
    </row>
    <row r="84" spans="1:7" ht="15" customHeight="1" x14ac:dyDescent="0.2">
      <c r="A84" s="237">
        <v>80309020</v>
      </c>
      <c r="B84" s="56" t="s">
        <v>210</v>
      </c>
      <c r="C84" s="115" t="s">
        <v>211</v>
      </c>
      <c r="D84" s="63" t="s">
        <v>402</v>
      </c>
      <c r="E84" s="64" t="s">
        <v>403</v>
      </c>
      <c r="F84" s="108" t="s">
        <v>404</v>
      </c>
      <c r="G84" s="64" t="s">
        <v>406</v>
      </c>
    </row>
    <row r="85" spans="1:7" ht="15" customHeight="1" x14ac:dyDescent="0.2">
      <c r="A85" s="237">
        <v>80309022</v>
      </c>
      <c r="B85" s="56" t="s">
        <v>212</v>
      </c>
      <c r="C85" s="115" t="s">
        <v>213</v>
      </c>
      <c r="D85" s="63" t="s">
        <v>402</v>
      </c>
      <c r="E85" s="64" t="s">
        <v>403</v>
      </c>
      <c r="F85" s="108" t="s">
        <v>404</v>
      </c>
      <c r="G85" s="64" t="s">
        <v>406</v>
      </c>
    </row>
    <row r="86" spans="1:7" ht="21" x14ac:dyDescent="0.2">
      <c r="A86" s="237">
        <v>80309023</v>
      </c>
      <c r="B86" s="56" t="s">
        <v>214</v>
      </c>
      <c r="C86" s="115" t="s">
        <v>215</v>
      </c>
      <c r="D86" s="63" t="s">
        <v>402</v>
      </c>
      <c r="E86" s="64" t="s">
        <v>403</v>
      </c>
      <c r="F86" s="108" t="s">
        <v>404</v>
      </c>
      <c r="G86" s="64" t="s">
        <v>406</v>
      </c>
    </row>
    <row r="87" spans="1:7" ht="15" customHeight="1" x14ac:dyDescent="0.2">
      <c r="A87" s="237">
        <v>80309024</v>
      </c>
      <c r="B87" s="56" t="s">
        <v>216</v>
      </c>
      <c r="C87" s="115" t="s">
        <v>217</v>
      </c>
      <c r="D87" s="63" t="s">
        <v>402</v>
      </c>
      <c r="E87" s="64" t="s">
        <v>403</v>
      </c>
      <c r="F87" s="108" t="s">
        <v>404</v>
      </c>
      <c r="G87" s="64" t="s">
        <v>406</v>
      </c>
    </row>
    <row r="88" spans="1:7" ht="15" customHeight="1" x14ac:dyDescent="0.2">
      <c r="A88" s="238"/>
      <c r="B88" s="348" t="s">
        <v>62</v>
      </c>
      <c r="C88" s="349"/>
      <c r="D88" s="162">
        <f>SUM(D81:D87)</f>
        <v>0</v>
      </c>
      <c r="E88" s="155">
        <f>SUM(E81:E87)</f>
        <v>0</v>
      </c>
      <c r="F88" s="156">
        <f>SUM(F81:F87)</f>
        <v>0</v>
      </c>
      <c r="G88" s="155">
        <f>SUM(G81:G87)</f>
        <v>0</v>
      </c>
    </row>
    <row r="89" spans="1:7" ht="15" customHeight="1" x14ac:dyDescent="0.2">
      <c r="A89" s="238"/>
      <c r="B89" s="348" t="s">
        <v>218</v>
      </c>
      <c r="C89" s="349"/>
      <c r="D89" s="162">
        <f>+D20+D43+D49+D54+D73+D78+D88</f>
        <v>0</v>
      </c>
      <c r="E89" s="155">
        <f>+E20+E43+E49+E54+E73+E78+E88</f>
        <v>0</v>
      </c>
      <c r="F89" s="156">
        <f>+F20+F43+F49+F54+F73+F78+F88</f>
        <v>0</v>
      </c>
      <c r="G89" s="157">
        <f>+G20+G43+G49+G54+G73+G78+G88</f>
        <v>0</v>
      </c>
    </row>
    <row r="90" spans="1:7" ht="15" customHeight="1" x14ac:dyDescent="0.2">
      <c r="B90" s="124"/>
      <c r="C90" s="124"/>
      <c r="D90" s="129"/>
      <c r="E90" s="129"/>
      <c r="F90" s="129"/>
      <c r="G90" s="129"/>
    </row>
    <row r="91" spans="1:7" ht="15" customHeight="1" x14ac:dyDescent="0.2">
      <c r="B91" s="360" t="s">
        <v>219</v>
      </c>
      <c r="C91" s="361"/>
      <c r="D91" s="352"/>
      <c r="E91" s="352"/>
      <c r="F91" s="352"/>
      <c r="G91" s="353"/>
    </row>
    <row r="92" spans="1:7" ht="15" customHeight="1" x14ac:dyDescent="0.2">
      <c r="A92" s="237">
        <v>80401004</v>
      </c>
      <c r="B92" s="188" t="s">
        <v>220</v>
      </c>
      <c r="C92" s="122" t="s">
        <v>221</v>
      </c>
      <c r="D92" s="183" t="s">
        <v>402</v>
      </c>
      <c r="E92" s="62" t="s">
        <v>403</v>
      </c>
      <c r="F92" s="107" t="s">
        <v>404</v>
      </c>
      <c r="G92" s="62" t="s">
        <v>406</v>
      </c>
    </row>
    <row r="93" spans="1:7" ht="15" customHeight="1" x14ac:dyDescent="0.2">
      <c r="A93" s="237">
        <v>80401008</v>
      </c>
      <c r="B93" s="56" t="s">
        <v>222</v>
      </c>
      <c r="C93" s="115" t="s">
        <v>223</v>
      </c>
      <c r="D93" s="63" t="s">
        <v>402</v>
      </c>
      <c r="E93" s="64" t="s">
        <v>403</v>
      </c>
      <c r="F93" s="108" t="s">
        <v>404</v>
      </c>
      <c r="G93" s="64" t="s">
        <v>406</v>
      </c>
    </row>
    <row r="94" spans="1:7" ht="15" customHeight="1" x14ac:dyDescent="0.2">
      <c r="A94" s="237">
        <v>80401009</v>
      </c>
      <c r="B94" s="56" t="s">
        <v>224</v>
      </c>
      <c r="C94" s="115" t="s">
        <v>225</v>
      </c>
      <c r="D94" s="63" t="s">
        <v>402</v>
      </c>
      <c r="E94" s="64" t="s">
        <v>403</v>
      </c>
      <c r="F94" s="108" t="s">
        <v>404</v>
      </c>
      <c r="G94" s="64" t="s">
        <v>406</v>
      </c>
    </row>
    <row r="95" spans="1:7" ht="15" customHeight="1" x14ac:dyDescent="0.2">
      <c r="A95" s="237">
        <v>80401070</v>
      </c>
      <c r="B95" s="56" t="s">
        <v>226</v>
      </c>
      <c r="C95" s="115" t="s">
        <v>227</v>
      </c>
      <c r="D95" s="63" t="s">
        <v>402</v>
      </c>
      <c r="E95" s="64" t="s">
        <v>403</v>
      </c>
      <c r="F95" s="108" t="s">
        <v>404</v>
      </c>
      <c r="G95" s="64" t="s">
        <v>406</v>
      </c>
    </row>
    <row r="96" spans="1:7" ht="15" customHeight="1" x14ac:dyDescent="0.2">
      <c r="A96" s="237">
        <v>80401010</v>
      </c>
      <c r="B96" s="56" t="s">
        <v>228</v>
      </c>
      <c r="C96" s="115" t="s">
        <v>229</v>
      </c>
      <c r="D96" s="63" t="s">
        <v>402</v>
      </c>
      <c r="E96" s="64" t="s">
        <v>403</v>
      </c>
      <c r="F96" s="108" t="s">
        <v>404</v>
      </c>
      <c r="G96" s="64" t="s">
        <v>406</v>
      </c>
    </row>
    <row r="97" spans="1:7" ht="15" customHeight="1" x14ac:dyDescent="0.2">
      <c r="A97" s="237">
        <v>80401110</v>
      </c>
      <c r="B97" s="56" t="s">
        <v>230</v>
      </c>
      <c r="C97" s="115" t="s">
        <v>231</v>
      </c>
      <c r="D97" s="63" t="s">
        <v>402</v>
      </c>
      <c r="E97" s="64" t="s">
        <v>403</v>
      </c>
      <c r="F97" s="108" t="s">
        <v>404</v>
      </c>
      <c r="G97" s="64" t="s">
        <v>406</v>
      </c>
    </row>
    <row r="98" spans="1:7" ht="15" customHeight="1" x14ac:dyDescent="0.2">
      <c r="A98" s="237">
        <v>80401130</v>
      </c>
      <c r="B98" s="56" t="s">
        <v>232</v>
      </c>
      <c r="C98" s="115" t="s">
        <v>233</v>
      </c>
      <c r="D98" s="63" t="s">
        <v>402</v>
      </c>
      <c r="E98" s="64" t="s">
        <v>403</v>
      </c>
      <c r="F98" s="108" t="s">
        <v>404</v>
      </c>
      <c r="G98" s="64" t="s">
        <v>406</v>
      </c>
    </row>
    <row r="99" spans="1:7" ht="15" customHeight="1" x14ac:dyDescent="0.2">
      <c r="A99" s="237">
        <v>80401042</v>
      </c>
      <c r="B99" s="56" t="s">
        <v>234</v>
      </c>
      <c r="C99" s="115" t="s">
        <v>235</v>
      </c>
      <c r="D99" s="63" t="s">
        <v>402</v>
      </c>
      <c r="E99" s="64" t="s">
        <v>403</v>
      </c>
      <c r="F99" s="108" t="s">
        <v>404</v>
      </c>
      <c r="G99" s="64" t="s">
        <v>406</v>
      </c>
    </row>
    <row r="100" spans="1:7" ht="15" customHeight="1" x14ac:dyDescent="0.2">
      <c r="A100" s="237">
        <v>80401043</v>
      </c>
      <c r="B100" s="56" t="s">
        <v>236</v>
      </c>
      <c r="C100" s="115" t="s">
        <v>237</v>
      </c>
      <c r="D100" s="63" t="s">
        <v>402</v>
      </c>
      <c r="E100" s="64" t="s">
        <v>403</v>
      </c>
      <c r="F100" s="108" t="s">
        <v>404</v>
      </c>
      <c r="G100" s="64" t="s">
        <v>406</v>
      </c>
    </row>
    <row r="101" spans="1:7" ht="15" customHeight="1" x14ac:dyDescent="0.2">
      <c r="A101" s="237">
        <v>80401044</v>
      </c>
      <c r="B101" s="56" t="s">
        <v>238</v>
      </c>
      <c r="C101" s="115" t="s">
        <v>239</v>
      </c>
      <c r="D101" s="63" t="s">
        <v>402</v>
      </c>
      <c r="E101" s="64" t="s">
        <v>403</v>
      </c>
      <c r="F101" s="108" t="s">
        <v>404</v>
      </c>
      <c r="G101" s="64" t="s">
        <v>406</v>
      </c>
    </row>
    <row r="102" spans="1:7" ht="15" customHeight="1" x14ac:dyDescent="0.2">
      <c r="A102" s="237">
        <v>80401045</v>
      </c>
      <c r="B102" s="56" t="s">
        <v>240</v>
      </c>
      <c r="C102" s="115" t="s">
        <v>241</v>
      </c>
      <c r="D102" s="63" t="s">
        <v>402</v>
      </c>
      <c r="E102" s="64" t="s">
        <v>403</v>
      </c>
      <c r="F102" s="108" t="s">
        <v>404</v>
      </c>
      <c r="G102" s="64" t="s">
        <v>406</v>
      </c>
    </row>
    <row r="103" spans="1:7" ht="15" customHeight="1" x14ac:dyDescent="0.2">
      <c r="A103" s="237">
        <v>80401046</v>
      </c>
      <c r="B103" s="56" t="s">
        <v>242</v>
      </c>
      <c r="C103" s="115" t="s">
        <v>243</v>
      </c>
      <c r="D103" s="63" t="s">
        <v>402</v>
      </c>
      <c r="E103" s="64" t="s">
        <v>403</v>
      </c>
      <c r="F103" s="108" t="s">
        <v>404</v>
      </c>
      <c r="G103" s="64" t="s">
        <v>406</v>
      </c>
    </row>
    <row r="104" spans="1:7" ht="15" customHeight="1" x14ac:dyDescent="0.2">
      <c r="A104" s="237">
        <v>80401047</v>
      </c>
      <c r="B104" s="56" t="s">
        <v>244</v>
      </c>
      <c r="C104" s="115" t="s">
        <v>245</v>
      </c>
      <c r="D104" s="63" t="s">
        <v>402</v>
      </c>
      <c r="E104" s="64" t="s">
        <v>403</v>
      </c>
      <c r="F104" s="108" t="s">
        <v>404</v>
      </c>
      <c r="G104" s="64" t="s">
        <v>406</v>
      </c>
    </row>
    <row r="105" spans="1:7" ht="15" customHeight="1" x14ac:dyDescent="0.2">
      <c r="A105" s="237">
        <v>80401048</v>
      </c>
      <c r="B105" s="56" t="s">
        <v>246</v>
      </c>
      <c r="C105" s="115" t="s">
        <v>247</v>
      </c>
      <c r="D105" s="63" t="s">
        <v>402</v>
      </c>
      <c r="E105" s="64" t="s">
        <v>403</v>
      </c>
      <c r="F105" s="108" t="s">
        <v>404</v>
      </c>
      <c r="G105" s="64" t="s">
        <v>406</v>
      </c>
    </row>
    <row r="106" spans="1:7" ht="15" customHeight="1" x14ac:dyDescent="0.2">
      <c r="A106" s="237">
        <v>80401049</v>
      </c>
      <c r="B106" s="56" t="s">
        <v>248</v>
      </c>
      <c r="C106" s="115" t="s">
        <v>249</v>
      </c>
      <c r="D106" s="63" t="s">
        <v>402</v>
      </c>
      <c r="E106" s="64" t="s">
        <v>403</v>
      </c>
      <c r="F106" s="108" t="s">
        <v>404</v>
      </c>
      <c r="G106" s="64" t="s">
        <v>406</v>
      </c>
    </row>
    <row r="107" spans="1:7" ht="15" customHeight="1" x14ac:dyDescent="0.2">
      <c r="A107" s="237">
        <v>80401051</v>
      </c>
      <c r="B107" s="56" t="s">
        <v>250</v>
      </c>
      <c r="C107" s="115" t="s">
        <v>251</v>
      </c>
      <c r="D107" s="63" t="s">
        <v>402</v>
      </c>
      <c r="E107" s="64" t="s">
        <v>403</v>
      </c>
      <c r="F107" s="108" t="s">
        <v>404</v>
      </c>
      <c r="G107" s="64" t="s">
        <v>406</v>
      </c>
    </row>
    <row r="108" spans="1:7" ht="15" customHeight="1" x14ac:dyDescent="0.2">
      <c r="A108" s="237">
        <v>80401151</v>
      </c>
      <c r="B108" s="56" t="s">
        <v>252</v>
      </c>
      <c r="C108" s="115" t="s">
        <v>253</v>
      </c>
      <c r="D108" s="63" t="s">
        <v>402</v>
      </c>
      <c r="E108" s="64" t="s">
        <v>403</v>
      </c>
      <c r="F108" s="108" t="s">
        <v>404</v>
      </c>
      <c r="G108" s="64" t="s">
        <v>406</v>
      </c>
    </row>
    <row r="109" spans="1:7" ht="21" x14ac:dyDescent="0.2">
      <c r="A109" s="237">
        <v>80401052</v>
      </c>
      <c r="B109" s="56" t="s">
        <v>254</v>
      </c>
      <c r="C109" s="115" t="s">
        <v>255</v>
      </c>
      <c r="D109" s="63" t="s">
        <v>402</v>
      </c>
      <c r="E109" s="64" t="s">
        <v>403</v>
      </c>
      <c r="F109" s="108" t="s">
        <v>404</v>
      </c>
      <c r="G109" s="64" t="s">
        <v>406</v>
      </c>
    </row>
    <row r="110" spans="1:7" ht="15" customHeight="1" x14ac:dyDescent="0.2">
      <c r="A110" s="237">
        <v>80401053</v>
      </c>
      <c r="B110" s="56" t="s">
        <v>256</v>
      </c>
      <c r="C110" s="115" t="s">
        <v>257</v>
      </c>
      <c r="D110" s="63" t="s">
        <v>402</v>
      </c>
      <c r="E110" s="64" t="s">
        <v>403</v>
      </c>
      <c r="F110" s="108" t="s">
        <v>404</v>
      </c>
      <c r="G110" s="64" t="s">
        <v>406</v>
      </c>
    </row>
    <row r="111" spans="1:7" ht="15" customHeight="1" x14ac:dyDescent="0.2">
      <c r="A111" s="237">
        <v>80401054</v>
      </c>
      <c r="B111" s="56" t="s">
        <v>258</v>
      </c>
      <c r="C111" s="115" t="s">
        <v>259</v>
      </c>
      <c r="D111" s="63" t="s">
        <v>402</v>
      </c>
      <c r="E111" s="64" t="s">
        <v>403</v>
      </c>
      <c r="F111" s="108" t="s">
        <v>404</v>
      </c>
      <c r="G111" s="64" t="s">
        <v>406</v>
      </c>
    </row>
    <row r="112" spans="1:7" ht="15" customHeight="1" x14ac:dyDescent="0.2">
      <c r="A112" s="237">
        <v>80401055</v>
      </c>
      <c r="B112" s="56" t="s">
        <v>260</v>
      </c>
      <c r="C112" s="115" t="s">
        <v>261</v>
      </c>
      <c r="D112" s="63" t="s">
        <v>402</v>
      </c>
      <c r="E112" s="64" t="s">
        <v>403</v>
      </c>
      <c r="F112" s="108" t="s">
        <v>404</v>
      </c>
      <c r="G112" s="64" t="s">
        <v>406</v>
      </c>
    </row>
    <row r="113" spans="1:7" ht="15" customHeight="1" x14ac:dyDescent="0.2">
      <c r="A113" s="237">
        <v>80401060</v>
      </c>
      <c r="B113" s="56" t="s">
        <v>262</v>
      </c>
      <c r="C113" s="115" t="s">
        <v>263</v>
      </c>
      <c r="D113" s="63" t="s">
        <v>402</v>
      </c>
      <c r="E113" s="64" t="s">
        <v>403</v>
      </c>
      <c r="F113" s="108" t="s">
        <v>404</v>
      </c>
      <c r="G113" s="64" t="s">
        <v>406</v>
      </c>
    </row>
    <row r="114" spans="1:7" ht="15" customHeight="1" x14ac:dyDescent="0.2">
      <c r="A114" s="237">
        <v>80404002</v>
      </c>
      <c r="B114" s="56" t="s">
        <v>264</v>
      </c>
      <c r="C114" s="115" t="s">
        <v>265</v>
      </c>
      <c r="D114" s="63" t="s">
        <v>402</v>
      </c>
      <c r="E114" s="64" t="s">
        <v>403</v>
      </c>
      <c r="F114" s="108" t="s">
        <v>404</v>
      </c>
      <c r="G114" s="64" t="s">
        <v>406</v>
      </c>
    </row>
    <row r="115" spans="1:7" ht="15" customHeight="1" x14ac:dyDescent="0.2">
      <c r="A115" s="237">
        <v>80404005</v>
      </c>
      <c r="B115" s="56" t="s">
        <v>266</v>
      </c>
      <c r="C115" s="115" t="s">
        <v>267</v>
      </c>
      <c r="D115" s="63" t="s">
        <v>402</v>
      </c>
      <c r="E115" s="64" t="s">
        <v>403</v>
      </c>
      <c r="F115" s="108" t="s">
        <v>404</v>
      </c>
      <c r="G115" s="64" t="s">
        <v>406</v>
      </c>
    </row>
    <row r="116" spans="1:7" ht="15" customHeight="1" x14ac:dyDescent="0.2">
      <c r="A116" s="237">
        <v>80404006</v>
      </c>
      <c r="B116" s="56" t="s">
        <v>268</v>
      </c>
      <c r="C116" s="115" t="s">
        <v>269</v>
      </c>
      <c r="D116" s="63" t="s">
        <v>402</v>
      </c>
      <c r="E116" s="64" t="s">
        <v>403</v>
      </c>
      <c r="F116" s="108" t="s">
        <v>404</v>
      </c>
      <c r="G116" s="64" t="s">
        <v>406</v>
      </c>
    </row>
    <row r="117" spans="1:7" ht="15" customHeight="1" x14ac:dyDescent="0.2">
      <c r="A117" s="237">
        <v>80404007</v>
      </c>
      <c r="B117" s="56" t="s">
        <v>270</v>
      </c>
      <c r="C117" s="115" t="s">
        <v>271</v>
      </c>
      <c r="D117" s="63" t="s">
        <v>402</v>
      </c>
      <c r="E117" s="64" t="s">
        <v>403</v>
      </c>
      <c r="F117" s="108" t="s">
        <v>404</v>
      </c>
      <c r="G117" s="64" t="s">
        <v>406</v>
      </c>
    </row>
    <row r="118" spans="1:7" ht="15" customHeight="1" x14ac:dyDescent="0.2">
      <c r="A118" s="237">
        <v>80404008</v>
      </c>
      <c r="B118" s="189" t="s">
        <v>272</v>
      </c>
      <c r="C118" s="187" t="s">
        <v>273</v>
      </c>
      <c r="D118" s="184" t="s">
        <v>402</v>
      </c>
      <c r="E118" s="185" t="s">
        <v>403</v>
      </c>
      <c r="F118" s="186" t="s">
        <v>404</v>
      </c>
      <c r="G118" s="185" t="s">
        <v>406</v>
      </c>
    </row>
    <row r="119" spans="1:7" s="135" customFormat="1" ht="20.100000000000001" customHeight="1" x14ac:dyDescent="0.2">
      <c r="A119" s="118"/>
      <c r="B119" s="136"/>
      <c r="C119" s="132"/>
      <c r="D119" s="133"/>
      <c r="E119" s="134"/>
      <c r="F119" s="134"/>
      <c r="G119" s="134"/>
    </row>
    <row r="120" spans="1:7" ht="15" customHeight="1" x14ac:dyDescent="0.2">
      <c r="B120" s="263" t="s">
        <v>369</v>
      </c>
      <c r="C120" s="264"/>
      <c r="D120" s="264"/>
      <c r="E120" s="264"/>
      <c r="F120" s="264"/>
      <c r="G120" s="264"/>
    </row>
    <row r="121" spans="1:7" ht="14.1" customHeight="1" x14ac:dyDescent="0.2">
      <c r="A121" s="135"/>
      <c r="B121" s="354" t="s">
        <v>1</v>
      </c>
      <c r="C121" s="358" t="s">
        <v>94</v>
      </c>
      <c r="D121" s="354" t="s">
        <v>65</v>
      </c>
      <c r="E121" s="354" t="s">
        <v>63</v>
      </c>
      <c r="F121" s="354" t="s">
        <v>64</v>
      </c>
      <c r="G121" s="354" t="s">
        <v>117</v>
      </c>
    </row>
    <row r="122" spans="1:7" s="135" customFormat="1" ht="15" customHeight="1" x14ac:dyDescent="0.2">
      <c r="A122" s="118"/>
      <c r="B122" s="355"/>
      <c r="C122" s="359"/>
      <c r="D122" s="355"/>
      <c r="E122" s="355"/>
      <c r="F122" s="355"/>
      <c r="G122" s="355"/>
    </row>
    <row r="123" spans="1:7" ht="15" customHeight="1" x14ac:dyDescent="0.2">
      <c r="B123" s="350" t="s">
        <v>274</v>
      </c>
      <c r="C123" s="351"/>
      <c r="D123" s="120"/>
      <c r="E123" s="120"/>
      <c r="F123" s="120"/>
      <c r="G123" s="261"/>
    </row>
    <row r="124" spans="1:7" ht="15" customHeight="1" x14ac:dyDescent="0.2">
      <c r="A124" s="246">
        <v>81301025</v>
      </c>
      <c r="B124" s="58">
        <v>1301025</v>
      </c>
      <c r="C124" s="122" t="s">
        <v>275</v>
      </c>
      <c r="D124" s="278" t="s">
        <v>402</v>
      </c>
      <c r="E124" s="279" t="s">
        <v>403</v>
      </c>
      <c r="F124" s="279" t="s">
        <v>404</v>
      </c>
      <c r="G124" s="280" t="s">
        <v>406</v>
      </c>
    </row>
    <row r="125" spans="1:7" ht="15" customHeight="1" x14ac:dyDescent="0.2">
      <c r="A125" s="246">
        <v>81301026</v>
      </c>
      <c r="B125" s="59">
        <v>1301026</v>
      </c>
      <c r="C125" s="115" t="s">
        <v>276</v>
      </c>
      <c r="D125" s="281" t="s">
        <v>402</v>
      </c>
      <c r="E125" s="282" t="s">
        <v>403</v>
      </c>
      <c r="F125" s="282" t="s">
        <v>404</v>
      </c>
      <c r="G125" s="280" t="s">
        <v>406</v>
      </c>
    </row>
    <row r="126" spans="1:7" ht="15" customHeight="1" x14ac:dyDescent="0.2">
      <c r="A126" s="246">
        <v>81301029</v>
      </c>
      <c r="B126" s="59">
        <v>1301029</v>
      </c>
      <c r="C126" s="115" t="s">
        <v>277</v>
      </c>
      <c r="D126" s="281" t="s">
        <v>402</v>
      </c>
      <c r="E126" s="282" t="s">
        <v>403</v>
      </c>
      <c r="F126" s="282" t="s">
        <v>404</v>
      </c>
      <c r="G126" s="280" t="s">
        <v>406</v>
      </c>
    </row>
    <row r="127" spans="1:7" ht="15" customHeight="1" x14ac:dyDescent="0.2">
      <c r="A127" s="246">
        <v>81301030</v>
      </c>
      <c r="B127" s="59">
        <v>1301030</v>
      </c>
      <c r="C127" s="115" t="s">
        <v>278</v>
      </c>
      <c r="D127" s="281" t="s">
        <v>402</v>
      </c>
      <c r="E127" s="282" t="s">
        <v>403</v>
      </c>
      <c r="F127" s="282" t="s">
        <v>404</v>
      </c>
      <c r="G127" s="280" t="s">
        <v>406</v>
      </c>
    </row>
    <row r="128" spans="1:7" ht="15" customHeight="1" x14ac:dyDescent="0.2">
      <c r="A128" s="244"/>
      <c r="B128" s="348" t="s">
        <v>62</v>
      </c>
      <c r="C128" s="349"/>
      <c r="D128" s="67">
        <f>SUM(D124:D127)</f>
        <v>0</v>
      </c>
      <c r="E128" s="155">
        <f>SUM(E124:E127)</f>
        <v>0</v>
      </c>
      <c r="F128" s="155">
        <f>SUM(F124:F127)</f>
        <v>0</v>
      </c>
      <c r="G128" s="155"/>
    </row>
    <row r="129" spans="1:7" ht="15" customHeight="1" x14ac:dyDescent="0.2">
      <c r="B129" s="124"/>
      <c r="C129" s="124"/>
      <c r="D129" s="193"/>
      <c r="E129" s="193"/>
      <c r="F129" s="193"/>
    </row>
    <row r="130" spans="1:7" ht="15" customHeight="1" x14ac:dyDescent="0.2">
      <c r="B130" s="350" t="s">
        <v>370</v>
      </c>
      <c r="C130" s="351"/>
      <c r="D130" s="196"/>
      <c r="E130" s="196"/>
      <c r="F130" s="382"/>
      <c r="G130" s="382"/>
    </row>
    <row r="131" spans="1:7" ht="15" customHeight="1" x14ac:dyDescent="0.2">
      <c r="A131" s="246">
        <v>81601110</v>
      </c>
      <c r="B131" s="58">
        <v>1601110</v>
      </c>
      <c r="C131" s="122" t="s">
        <v>279</v>
      </c>
      <c r="D131" s="272" t="s">
        <v>402</v>
      </c>
      <c r="E131" s="273" t="s">
        <v>403</v>
      </c>
      <c r="F131" s="273" t="s">
        <v>404</v>
      </c>
      <c r="G131" s="273" t="s">
        <v>406</v>
      </c>
    </row>
    <row r="132" spans="1:7" ht="23.25" customHeight="1" x14ac:dyDescent="0.2">
      <c r="A132" s="246">
        <v>81602203</v>
      </c>
      <c r="B132" s="197">
        <v>1602203</v>
      </c>
      <c r="C132" s="198" t="s">
        <v>280</v>
      </c>
      <c r="D132" s="274" t="s">
        <v>402</v>
      </c>
      <c r="E132" s="275" t="s">
        <v>403</v>
      </c>
      <c r="F132" s="275" t="s">
        <v>404</v>
      </c>
      <c r="G132" s="275" t="s">
        <v>406</v>
      </c>
    </row>
    <row r="133" spans="1:7" ht="18" customHeight="1" x14ac:dyDescent="0.2">
      <c r="A133" s="246">
        <v>81602206</v>
      </c>
      <c r="B133" s="59">
        <v>1602206</v>
      </c>
      <c r="C133" s="115" t="s">
        <v>281</v>
      </c>
      <c r="D133" s="276" t="s">
        <v>402</v>
      </c>
      <c r="E133" s="277" t="s">
        <v>403</v>
      </c>
      <c r="F133" s="277" t="s">
        <v>404</v>
      </c>
      <c r="G133" s="277" t="s">
        <v>406</v>
      </c>
    </row>
    <row r="134" spans="1:7" ht="18" customHeight="1" x14ac:dyDescent="0.2">
      <c r="A134" s="246">
        <v>81602221</v>
      </c>
      <c r="B134" s="59">
        <v>1602221</v>
      </c>
      <c r="C134" s="115" t="s">
        <v>282</v>
      </c>
      <c r="D134" s="276" t="s">
        <v>402</v>
      </c>
      <c r="E134" s="277" t="s">
        <v>403</v>
      </c>
      <c r="F134" s="277" t="s">
        <v>404</v>
      </c>
      <c r="G134" s="277" t="s">
        <v>406</v>
      </c>
    </row>
    <row r="135" spans="1:7" ht="18" customHeight="1" x14ac:dyDescent="0.2">
      <c r="A135" s="246">
        <v>81602222</v>
      </c>
      <c r="B135" s="59">
        <v>1602222</v>
      </c>
      <c r="C135" s="115" t="s">
        <v>283</v>
      </c>
      <c r="D135" s="276" t="s">
        <v>402</v>
      </c>
      <c r="E135" s="277" t="s">
        <v>403</v>
      </c>
      <c r="F135" s="277" t="s">
        <v>404</v>
      </c>
      <c r="G135" s="277" t="s">
        <v>406</v>
      </c>
    </row>
    <row r="136" spans="1:7" ht="22.5" customHeight="1" x14ac:dyDescent="0.2">
      <c r="A136" s="246">
        <v>81602223</v>
      </c>
      <c r="B136" s="59">
        <v>1602223</v>
      </c>
      <c r="C136" s="115" t="s">
        <v>284</v>
      </c>
      <c r="D136" s="276" t="s">
        <v>402</v>
      </c>
      <c r="E136" s="277" t="s">
        <v>403</v>
      </c>
      <c r="F136" s="277" t="s">
        <v>404</v>
      </c>
      <c r="G136" s="277" t="s">
        <v>406</v>
      </c>
    </row>
    <row r="137" spans="1:7" ht="24" customHeight="1" x14ac:dyDescent="0.2">
      <c r="A137" s="246">
        <v>81602224</v>
      </c>
      <c r="B137" s="59">
        <v>1602224</v>
      </c>
      <c r="C137" s="115" t="s">
        <v>285</v>
      </c>
      <c r="D137" s="276" t="s">
        <v>402</v>
      </c>
      <c r="E137" s="277" t="s">
        <v>403</v>
      </c>
      <c r="F137" s="277" t="s">
        <v>404</v>
      </c>
      <c r="G137" s="277" t="s">
        <v>406</v>
      </c>
    </row>
    <row r="138" spans="1:7" ht="21.75" customHeight="1" x14ac:dyDescent="0.2">
      <c r="A138" s="246">
        <v>81602225</v>
      </c>
      <c r="B138" s="59">
        <v>1602225</v>
      </c>
      <c r="C138" s="115" t="s">
        <v>286</v>
      </c>
      <c r="D138" s="276" t="s">
        <v>402</v>
      </c>
      <c r="E138" s="277" t="s">
        <v>403</v>
      </c>
      <c r="F138" s="277" t="s">
        <v>404</v>
      </c>
      <c r="G138" s="277" t="s">
        <v>406</v>
      </c>
    </row>
    <row r="139" spans="1:7" ht="15" customHeight="1" x14ac:dyDescent="0.2">
      <c r="A139" s="246">
        <v>81602231</v>
      </c>
      <c r="B139" s="59">
        <v>1602231</v>
      </c>
      <c r="C139" s="115" t="s">
        <v>287</v>
      </c>
      <c r="D139" s="276" t="s">
        <v>402</v>
      </c>
      <c r="E139" s="277" t="s">
        <v>403</v>
      </c>
      <c r="F139" s="277" t="s">
        <v>404</v>
      </c>
      <c r="G139" s="277" t="s">
        <v>406</v>
      </c>
    </row>
    <row r="140" spans="1:7" ht="15" customHeight="1" x14ac:dyDescent="0.2">
      <c r="A140" s="244"/>
      <c r="B140" s="348" t="s">
        <v>62</v>
      </c>
      <c r="C140" s="349"/>
      <c r="D140" s="67">
        <f>SUM(D131:D139)</f>
        <v>0</v>
      </c>
      <c r="E140" s="67">
        <f t="shared" ref="E140:G140" si="0">SUM(E131:E139)</f>
        <v>0</v>
      </c>
      <c r="F140" s="67">
        <f t="shared" si="0"/>
        <v>0</v>
      </c>
      <c r="G140" s="67">
        <f t="shared" si="0"/>
        <v>0</v>
      </c>
    </row>
    <row r="141" spans="1:7" ht="15" customHeight="1" x14ac:dyDescent="0.2">
      <c r="B141" s="124"/>
      <c r="C141" s="124"/>
      <c r="D141" s="126"/>
      <c r="E141" s="129"/>
      <c r="F141" s="129"/>
    </row>
    <row r="142" spans="1:7" ht="15" customHeight="1" x14ac:dyDescent="0.2">
      <c r="B142" s="350" t="s">
        <v>288</v>
      </c>
      <c r="C142" s="351"/>
      <c r="D142" s="120"/>
      <c r="E142" s="120"/>
      <c r="F142" s="194"/>
    </row>
    <row r="143" spans="1:7" ht="15" customHeight="1" x14ac:dyDescent="0.2">
      <c r="A143" s="246">
        <v>81701001</v>
      </c>
      <c r="B143" s="58" t="s">
        <v>289</v>
      </c>
      <c r="C143" s="122" t="s">
        <v>290</v>
      </c>
      <c r="D143" s="278" t="s">
        <v>402</v>
      </c>
      <c r="E143" s="283" t="s">
        <v>403</v>
      </c>
      <c r="F143" s="279" t="s">
        <v>404</v>
      </c>
      <c r="G143" s="273" t="s">
        <v>406</v>
      </c>
    </row>
    <row r="144" spans="1:7" ht="15" customHeight="1" x14ac:dyDescent="0.2">
      <c r="A144" s="246">
        <v>81701009</v>
      </c>
      <c r="B144" s="59" t="s">
        <v>291</v>
      </c>
      <c r="C144" s="115" t="s">
        <v>371</v>
      </c>
      <c r="D144" s="276" t="s">
        <v>402</v>
      </c>
      <c r="E144" s="284" t="s">
        <v>403</v>
      </c>
      <c r="F144" s="277" t="s">
        <v>404</v>
      </c>
      <c r="G144" s="277" t="s">
        <v>406</v>
      </c>
    </row>
    <row r="145" spans="1:7" ht="15" customHeight="1" x14ac:dyDescent="0.2">
      <c r="A145" s="246">
        <v>81707038</v>
      </c>
      <c r="B145" s="59"/>
      <c r="C145" s="123" t="s">
        <v>372</v>
      </c>
      <c r="D145" s="285" t="s">
        <v>402</v>
      </c>
      <c r="E145" s="286" t="s">
        <v>403</v>
      </c>
      <c r="F145" s="287" t="s">
        <v>404</v>
      </c>
      <c r="G145" s="280" t="s">
        <v>406</v>
      </c>
    </row>
    <row r="146" spans="1:7" ht="15" customHeight="1" x14ac:dyDescent="0.2">
      <c r="A146" s="247">
        <v>80500016</v>
      </c>
      <c r="B146" s="59"/>
      <c r="C146" s="115" t="s">
        <v>292</v>
      </c>
      <c r="D146" s="285" t="s">
        <v>402</v>
      </c>
      <c r="E146" s="284" t="s">
        <v>403</v>
      </c>
      <c r="F146" s="277" t="s">
        <v>404</v>
      </c>
      <c r="G146" s="277" t="s">
        <v>406</v>
      </c>
    </row>
    <row r="147" spans="1:7" ht="15" customHeight="1" x14ac:dyDescent="0.2">
      <c r="A147" s="247">
        <v>80500017</v>
      </c>
      <c r="B147" s="59"/>
      <c r="C147" s="115" t="s">
        <v>293</v>
      </c>
      <c r="D147" s="288" t="s">
        <v>402</v>
      </c>
      <c r="E147" s="284" t="s">
        <v>403</v>
      </c>
      <c r="F147" s="289" t="s">
        <v>404</v>
      </c>
      <c r="G147" s="289" t="s">
        <v>406</v>
      </c>
    </row>
    <row r="148" spans="1:7" ht="15" customHeight="1" x14ac:dyDescent="0.2">
      <c r="A148" s="244"/>
      <c r="B148" s="348" t="s">
        <v>62</v>
      </c>
      <c r="C148" s="349"/>
      <c r="D148" s="161">
        <f>SUM(D143:D147)</f>
        <v>0</v>
      </c>
      <c r="E148" s="161">
        <f t="shared" ref="E148:F148" si="1">SUM(E143:E147)</f>
        <v>0</v>
      </c>
      <c r="F148" s="161">
        <f t="shared" si="1"/>
        <v>0</v>
      </c>
      <c r="G148" s="161">
        <f>SUM(G143:G147)</f>
        <v>0</v>
      </c>
    </row>
    <row r="149" spans="1:7" ht="15" customHeight="1" x14ac:dyDescent="0.2">
      <c r="B149" s="124"/>
      <c r="C149" s="158"/>
      <c r="D149" s="159"/>
      <c r="E149" s="160"/>
      <c r="F149" s="160"/>
    </row>
    <row r="150" spans="1:7" ht="15" customHeight="1" x14ac:dyDescent="0.2">
      <c r="B150" s="356" t="s">
        <v>294</v>
      </c>
      <c r="C150" s="357"/>
      <c r="D150" s="195"/>
      <c r="E150" s="195"/>
      <c r="F150" s="224"/>
      <c r="G150" s="290"/>
    </row>
    <row r="151" spans="1:7" ht="15" customHeight="1" x14ac:dyDescent="0.2">
      <c r="A151" s="246">
        <v>81707001</v>
      </c>
      <c r="B151" s="197">
        <v>1707001</v>
      </c>
      <c r="C151" s="198" t="s">
        <v>295</v>
      </c>
      <c r="D151" s="199" t="s">
        <v>402</v>
      </c>
      <c r="E151" s="225" t="s">
        <v>403</v>
      </c>
      <c r="F151" s="200" t="s">
        <v>404</v>
      </c>
      <c r="G151" s="275" t="s">
        <v>406</v>
      </c>
    </row>
    <row r="152" spans="1:7" ht="15" customHeight="1" x14ac:dyDescent="0.2">
      <c r="A152" s="246">
        <v>81707002</v>
      </c>
      <c r="B152" s="59">
        <v>1707002</v>
      </c>
      <c r="C152" s="115" t="s">
        <v>296</v>
      </c>
      <c r="D152" s="69" t="s">
        <v>402</v>
      </c>
      <c r="E152" s="223" t="s">
        <v>403</v>
      </c>
      <c r="F152" s="64" t="s">
        <v>404</v>
      </c>
      <c r="G152" s="277" t="s">
        <v>406</v>
      </c>
    </row>
    <row r="153" spans="1:7" ht="15" customHeight="1" x14ac:dyDescent="0.2">
      <c r="A153" s="246">
        <v>81707004</v>
      </c>
      <c r="B153" s="59">
        <v>1707004</v>
      </c>
      <c r="C153" s="115" t="s">
        <v>297</v>
      </c>
      <c r="D153" s="69" t="s">
        <v>402</v>
      </c>
      <c r="E153" s="223" t="s">
        <v>403</v>
      </c>
      <c r="F153" s="64" t="s">
        <v>404</v>
      </c>
      <c r="G153" s="277" t="s">
        <v>406</v>
      </c>
    </row>
    <row r="154" spans="1:7" ht="15" customHeight="1" x14ac:dyDescent="0.2">
      <c r="A154" s="246">
        <v>81707030</v>
      </c>
      <c r="B154" s="60">
        <v>1707030</v>
      </c>
      <c r="C154" s="123" t="s">
        <v>298</v>
      </c>
      <c r="D154" s="125" t="s">
        <v>402</v>
      </c>
      <c r="E154" s="226" t="s">
        <v>403</v>
      </c>
      <c r="F154" s="66" t="s">
        <v>404</v>
      </c>
      <c r="G154" s="277" t="s">
        <v>406</v>
      </c>
    </row>
    <row r="155" spans="1:7" ht="15" customHeight="1" x14ac:dyDescent="0.2">
      <c r="A155" s="246">
        <v>80106006</v>
      </c>
      <c r="B155" s="61" t="s">
        <v>299</v>
      </c>
      <c r="C155" s="115" t="s">
        <v>300</v>
      </c>
      <c r="D155" s="190" t="s">
        <v>402</v>
      </c>
      <c r="E155" s="213" t="s">
        <v>403</v>
      </c>
      <c r="F155" s="191" t="s">
        <v>404</v>
      </c>
      <c r="G155" s="277" t="s">
        <v>406</v>
      </c>
    </row>
    <row r="156" spans="1:7" ht="15" customHeight="1" x14ac:dyDescent="0.2">
      <c r="A156" s="246">
        <v>80106020</v>
      </c>
      <c r="B156" s="61" t="s">
        <v>301</v>
      </c>
      <c r="C156" s="115" t="s">
        <v>302</v>
      </c>
      <c r="D156" s="190" t="s">
        <v>402</v>
      </c>
      <c r="E156" s="213" t="s">
        <v>403</v>
      </c>
      <c r="F156" s="191" t="s">
        <v>404</v>
      </c>
      <c r="G156" s="277" t="s">
        <v>406</v>
      </c>
    </row>
    <row r="157" spans="1:7" ht="15" customHeight="1" x14ac:dyDescent="0.2">
      <c r="A157" s="246">
        <v>80106021</v>
      </c>
      <c r="B157" s="61" t="s">
        <v>303</v>
      </c>
      <c r="C157" s="115" t="s">
        <v>304</v>
      </c>
      <c r="D157" s="190" t="s">
        <v>402</v>
      </c>
      <c r="E157" s="213" t="s">
        <v>403</v>
      </c>
      <c r="F157" s="191" t="s">
        <v>404</v>
      </c>
      <c r="G157" s="277" t="s">
        <v>406</v>
      </c>
    </row>
    <row r="158" spans="1:7" ht="15" customHeight="1" x14ac:dyDescent="0.2">
      <c r="A158" s="244"/>
      <c r="B158" s="348" t="s">
        <v>62</v>
      </c>
      <c r="C158" s="349"/>
      <c r="D158" s="67">
        <f>SUM(D151:D157)</f>
        <v>0</v>
      </c>
      <c r="E158" s="215">
        <f t="shared" ref="E158:G158" si="2">SUM(E151:E157)</f>
        <v>0</v>
      </c>
      <c r="F158" s="67">
        <f t="shared" si="2"/>
        <v>0</v>
      </c>
      <c r="G158" s="67">
        <f t="shared" si="2"/>
        <v>0</v>
      </c>
    </row>
    <row r="159" spans="1:7" ht="15" customHeight="1" x14ac:dyDescent="0.2">
      <c r="B159" s="124"/>
      <c r="C159" s="124"/>
      <c r="D159" s="126"/>
      <c r="E159" s="129"/>
      <c r="F159" s="129"/>
    </row>
    <row r="160" spans="1:7" ht="15" customHeight="1" x14ac:dyDescent="0.2">
      <c r="B160" s="350" t="s">
        <v>305</v>
      </c>
      <c r="C160" s="351"/>
      <c r="D160" s="195"/>
      <c r="E160" s="195"/>
      <c r="F160" s="268"/>
      <c r="G160" s="269"/>
    </row>
    <row r="161" spans="1:7" ht="15" customHeight="1" x14ac:dyDescent="0.2">
      <c r="A161" s="248">
        <v>82201014</v>
      </c>
      <c r="B161" s="60"/>
      <c r="C161" s="250" t="s">
        <v>306</v>
      </c>
      <c r="D161" s="207" t="s">
        <v>402</v>
      </c>
      <c r="E161" s="267" t="s">
        <v>403</v>
      </c>
      <c r="F161" s="208" t="s">
        <v>404</v>
      </c>
      <c r="G161" s="265" t="s">
        <v>406</v>
      </c>
    </row>
    <row r="162" spans="1:7" ht="15" customHeight="1" x14ac:dyDescent="0.2">
      <c r="A162" s="246">
        <v>80106009</v>
      </c>
      <c r="B162" s="61" t="s">
        <v>307</v>
      </c>
      <c r="C162" s="115" t="s">
        <v>308</v>
      </c>
      <c r="D162" s="190" t="s">
        <v>402</v>
      </c>
      <c r="E162" s="213" t="s">
        <v>403</v>
      </c>
      <c r="F162" s="191" t="s">
        <v>404</v>
      </c>
      <c r="G162" s="262" t="s">
        <v>406</v>
      </c>
    </row>
    <row r="163" spans="1:7" ht="15" customHeight="1" x14ac:dyDescent="0.2">
      <c r="A163" s="246">
        <v>81801042</v>
      </c>
      <c r="B163" s="60">
        <v>1801042</v>
      </c>
      <c r="C163" s="115" t="s">
        <v>309</v>
      </c>
      <c r="D163" s="69" t="s">
        <v>402</v>
      </c>
      <c r="E163" s="223" t="s">
        <v>403</v>
      </c>
      <c r="F163" s="64" t="s">
        <v>404</v>
      </c>
      <c r="G163" s="266" t="s">
        <v>406</v>
      </c>
    </row>
    <row r="164" spans="1:7" ht="15" customHeight="1" x14ac:dyDescent="0.2">
      <c r="A164" s="244"/>
      <c r="B164" s="348" t="s">
        <v>62</v>
      </c>
      <c r="C164" s="349"/>
      <c r="D164" s="67">
        <f>SUM(D161:D163)</f>
        <v>0</v>
      </c>
      <c r="E164" s="163">
        <f>SUM(E161:E163)</f>
        <v>0</v>
      </c>
      <c r="F164" s="155">
        <f>SUM(F161:F163)</f>
        <v>0</v>
      </c>
      <c r="G164" s="216"/>
    </row>
    <row r="165" spans="1:7" ht="15" customHeight="1" x14ac:dyDescent="0.2">
      <c r="B165" s="124"/>
      <c r="C165" s="124"/>
      <c r="D165" s="126"/>
      <c r="E165" s="129"/>
      <c r="F165" s="129"/>
    </row>
    <row r="166" spans="1:7" ht="15" customHeight="1" x14ac:dyDescent="0.2">
      <c r="B166" s="350" t="s">
        <v>310</v>
      </c>
      <c r="C166" s="351"/>
      <c r="D166" s="195"/>
      <c r="E166" s="195"/>
      <c r="F166" s="195"/>
    </row>
    <row r="167" spans="1:7" ht="15" customHeight="1" x14ac:dyDescent="0.2">
      <c r="A167" s="248">
        <v>82201015</v>
      </c>
      <c r="B167" s="60"/>
      <c r="C167" s="250" t="s">
        <v>311</v>
      </c>
      <c r="D167" s="201" t="s">
        <v>402</v>
      </c>
      <c r="E167" s="213" t="s">
        <v>403</v>
      </c>
      <c r="F167" s="221" t="s">
        <v>404</v>
      </c>
      <c r="G167" s="270" t="s">
        <v>406</v>
      </c>
    </row>
    <row r="168" spans="1:7" ht="15" customHeight="1" x14ac:dyDescent="0.2">
      <c r="A168" s="246">
        <v>81901022</v>
      </c>
      <c r="B168" s="60">
        <v>1901022</v>
      </c>
      <c r="C168" s="123" t="s">
        <v>312</v>
      </c>
      <c r="D168" s="201" t="s">
        <v>402</v>
      </c>
      <c r="E168" s="219" t="s">
        <v>403</v>
      </c>
      <c r="F168" s="202" t="s">
        <v>404</v>
      </c>
      <c r="G168" s="271" t="s">
        <v>406</v>
      </c>
    </row>
    <row r="169" spans="1:7" ht="15" customHeight="1" x14ac:dyDescent="0.2">
      <c r="A169" s="244"/>
      <c r="B169" s="348" t="s">
        <v>62</v>
      </c>
      <c r="C169" s="349"/>
      <c r="D169" s="153">
        <f>SUM(D167:D168)</f>
        <v>0</v>
      </c>
      <c r="E169" s="220">
        <f>SUM(E167:E168)</f>
        <v>0</v>
      </c>
      <c r="F169" s="154">
        <f>SUM(F167:F168)</f>
        <v>0</v>
      </c>
      <c r="G169" s="216"/>
    </row>
    <row r="170" spans="1:7" ht="15" customHeight="1" x14ac:dyDescent="0.2">
      <c r="B170" s="124"/>
      <c r="C170" s="124"/>
      <c r="D170" s="151"/>
      <c r="E170" s="152"/>
      <c r="F170" s="222"/>
    </row>
    <row r="171" spans="1:7" ht="24.95" customHeight="1" x14ac:dyDescent="0.2">
      <c r="B171" s="350" t="s">
        <v>313</v>
      </c>
      <c r="C171" s="351"/>
      <c r="D171" s="195"/>
      <c r="E171" s="195"/>
      <c r="F171" s="195"/>
    </row>
    <row r="172" spans="1:7" ht="15" customHeight="1" x14ac:dyDescent="0.2">
      <c r="A172" s="249">
        <v>80500008</v>
      </c>
      <c r="B172" s="59"/>
      <c r="C172" s="122" t="s">
        <v>314</v>
      </c>
      <c r="D172" s="190" t="s">
        <v>402</v>
      </c>
      <c r="E172" s="235" t="s">
        <v>403</v>
      </c>
      <c r="F172" s="62" t="s">
        <v>404</v>
      </c>
      <c r="G172" s="270" t="s">
        <v>406</v>
      </c>
    </row>
    <row r="173" spans="1:7" ht="12.75" x14ac:dyDescent="0.2">
      <c r="A173" s="249">
        <v>80500009</v>
      </c>
      <c r="B173" s="59"/>
      <c r="C173" s="115" t="s">
        <v>315</v>
      </c>
      <c r="D173" s="190" t="s">
        <v>402</v>
      </c>
      <c r="E173" s="64" t="s">
        <v>403</v>
      </c>
      <c r="F173" s="64" t="s">
        <v>404</v>
      </c>
      <c r="G173" s="262" t="s">
        <v>406</v>
      </c>
    </row>
    <row r="174" spans="1:7" ht="12.75" x14ac:dyDescent="0.2">
      <c r="A174" s="246">
        <v>82001015</v>
      </c>
      <c r="B174" s="59">
        <v>2001015</v>
      </c>
      <c r="C174" s="198" t="s">
        <v>316</v>
      </c>
      <c r="D174" s="69" t="s">
        <v>402</v>
      </c>
      <c r="E174" s="64" t="s">
        <v>403</v>
      </c>
      <c r="F174" s="64" t="s">
        <v>404</v>
      </c>
      <c r="G174" s="262" t="s">
        <v>406</v>
      </c>
    </row>
    <row r="175" spans="1:7" ht="12.75" x14ac:dyDescent="0.2">
      <c r="A175" s="248">
        <v>82201016</v>
      </c>
      <c r="B175" s="59"/>
      <c r="C175" s="250" t="s">
        <v>317</v>
      </c>
      <c r="D175" s="69" t="s">
        <v>402</v>
      </c>
      <c r="E175" s="64" t="s">
        <v>403</v>
      </c>
      <c r="F175" s="64" t="s">
        <v>404</v>
      </c>
      <c r="G175" s="262" t="s">
        <v>406</v>
      </c>
    </row>
    <row r="176" spans="1:7" ht="12.75" x14ac:dyDescent="0.2">
      <c r="A176" s="248">
        <v>82201017</v>
      </c>
      <c r="B176" s="203"/>
      <c r="C176" s="251" t="s">
        <v>318</v>
      </c>
      <c r="D176" s="69" t="s">
        <v>402</v>
      </c>
      <c r="E176" s="204" t="s">
        <v>403</v>
      </c>
      <c r="F176" s="204" t="s">
        <v>404</v>
      </c>
      <c r="G176" s="271" t="s">
        <v>406</v>
      </c>
    </row>
    <row r="177" spans="1:7" ht="11.25" x14ac:dyDescent="0.2">
      <c r="A177" s="244"/>
      <c r="B177" s="348" t="s">
        <v>62</v>
      </c>
      <c r="C177" s="349"/>
      <c r="D177" s="153">
        <f>SUM(D172:D176)</f>
        <v>0</v>
      </c>
      <c r="E177" s="153">
        <f t="shared" ref="E177:F177" si="3">SUM(E172:E176)</f>
        <v>0</v>
      </c>
      <c r="F177" s="153">
        <f t="shared" si="3"/>
        <v>0</v>
      </c>
      <c r="G177" s="153"/>
    </row>
    <row r="178" spans="1:7" ht="15" customHeight="1" x14ac:dyDescent="0.2">
      <c r="B178" s="137"/>
      <c r="C178" s="138"/>
      <c r="D178" s="140"/>
      <c r="E178" s="141"/>
      <c r="F178" s="217"/>
    </row>
    <row r="179" spans="1:7" ht="15" customHeight="1" x14ac:dyDescent="0.2">
      <c r="B179" s="350" t="s">
        <v>319</v>
      </c>
      <c r="C179" s="351"/>
      <c r="D179" s="192"/>
      <c r="E179" s="192"/>
      <c r="F179" s="218"/>
    </row>
    <row r="180" spans="1:7" ht="12.75" x14ac:dyDescent="0.2">
      <c r="A180" s="246">
        <v>82101001</v>
      </c>
      <c r="B180" s="58">
        <v>2101001</v>
      </c>
      <c r="C180" s="122" t="s">
        <v>320</v>
      </c>
      <c r="D180" s="68" t="s">
        <v>402</v>
      </c>
      <c r="E180" s="62" t="s">
        <v>403</v>
      </c>
      <c r="F180" s="254" t="s">
        <v>404</v>
      </c>
      <c r="G180" s="270" t="s">
        <v>406</v>
      </c>
    </row>
    <row r="181" spans="1:7" ht="12.75" x14ac:dyDescent="0.2">
      <c r="A181" s="246">
        <v>82106005</v>
      </c>
      <c r="B181" s="59">
        <v>2105004</v>
      </c>
      <c r="C181" s="115" t="s">
        <v>321</v>
      </c>
      <c r="D181" s="69" t="s">
        <v>402</v>
      </c>
      <c r="E181" s="64" t="s">
        <v>403</v>
      </c>
      <c r="F181" s="255" t="s">
        <v>404</v>
      </c>
      <c r="G181" s="262" t="s">
        <v>406</v>
      </c>
    </row>
    <row r="182" spans="1:7" ht="15" customHeight="1" x14ac:dyDescent="0.2">
      <c r="A182" s="246">
        <v>82106007</v>
      </c>
      <c r="B182" s="59">
        <v>2105005</v>
      </c>
      <c r="C182" s="115" t="s">
        <v>322</v>
      </c>
      <c r="D182" s="69" t="s">
        <v>402</v>
      </c>
      <c r="E182" s="64" t="s">
        <v>403</v>
      </c>
      <c r="F182" s="255" t="s">
        <v>404</v>
      </c>
      <c r="G182" s="262" t="s">
        <v>406</v>
      </c>
    </row>
    <row r="183" spans="1:7" ht="15" customHeight="1" x14ac:dyDescent="0.2">
      <c r="A183" s="246">
        <v>82106006</v>
      </c>
      <c r="B183" s="59">
        <v>2105006</v>
      </c>
      <c r="C183" s="115" t="s">
        <v>323</v>
      </c>
      <c r="D183" s="69" t="s">
        <v>402</v>
      </c>
      <c r="E183" s="64" t="s">
        <v>403</v>
      </c>
      <c r="F183" s="255" t="s">
        <v>404</v>
      </c>
      <c r="G183" s="262" t="s">
        <v>406</v>
      </c>
    </row>
    <row r="184" spans="1:7" ht="15" customHeight="1" x14ac:dyDescent="0.2">
      <c r="A184" s="246">
        <v>82106004</v>
      </c>
      <c r="B184" s="59">
        <v>2105007</v>
      </c>
      <c r="C184" s="115" t="s">
        <v>324</v>
      </c>
      <c r="D184" s="69" t="s">
        <v>402</v>
      </c>
      <c r="E184" s="64" t="s">
        <v>403</v>
      </c>
      <c r="F184" s="255" t="s">
        <v>404</v>
      </c>
      <c r="G184" s="262" t="s">
        <v>406</v>
      </c>
    </row>
    <row r="185" spans="1:7" ht="15" customHeight="1" x14ac:dyDescent="0.2">
      <c r="A185" s="246">
        <v>82107003</v>
      </c>
      <c r="B185" s="60">
        <v>2107003</v>
      </c>
      <c r="C185" s="123" t="s">
        <v>325</v>
      </c>
      <c r="D185" s="125" t="s">
        <v>402</v>
      </c>
      <c r="E185" s="64" t="s">
        <v>403</v>
      </c>
      <c r="F185" s="255" t="s">
        <v>404</v>
      </c>
      <c r="G185" s="271" t="s">
        <v>406</v>
      </c>
    </row>
    <row r="186" spans="1:7" ht="11.25" x14ac:dyDescent="0.2">
      <c r="A186" s="244"/>
      <c r="B186" s="348" t="s">
        <v>62</v>
      </c>
      <c r="C186" s="349"/>
      <c r="D186" s="67">
        <f>SUM(D180:D185)</f>
        <v>0</v>
      </c>
      <c r="E186" s="67">
        <f>SUM(E180:E185)</f>
        <v>0</v>
      </c>
      <c r="F186" s="67">
        <f>SUM(F180:F185)</f>
        <v>0</v>
      </c>
      <c r="G186" s="217"/>
    </row>
    <row r="187" spans="1:7" ht="11.25" x14ac:dyDescent="0.2">
      <c r="B187" s="124"/>
      <c r="C187" s="124"/>
      <c r="D187" s="126"/>
      <c r="E187" s="126"/>
      <c r="F187" s="126"/>
    </row>
    <row r="188" spans="1:7" ht="15" customHeight="1" x14ac:dyDescent="0.2">
      <c r="B188" s="350" t="s">
        <v>104</v>
      </c>
      <c r="C188" s="351"/>
      <c r="D188" s="120"/>
      <c r="E188" s="120"/>
      <c r="F188" s="216"/>
    </row>
    <row r="189" spans="1:7" ht="15" customHeight="1" x14ac:dyDescent="0.2">
      <c r="A189" s="249">
        <v>80500011</v>
      </c>
      <c r="B189" s="61"/>
      <c r="C189" s="122" t="s">
        <v>326</v>
      </c>
      <c r="D189" s="190" t="s">
        <v>402</v>
      </c>
      <c r="E189" s="256" t="s">
        <v>403</v>
      </c>
      <c r="F189" s="191" t="s">
        <v>404</v>
      </c>
      <c r="G189" s="270" t="s">
        <v>406</v>
      </c>
    </row>
    <row r="190" spans="1:7" ht="15" customHeight="1" x14ac:dyDescent="0.2">
      <c r="A190" s="253">
        <v>82201018</v>
      </c>
      <c r="B190" s="205"/>
      <c r="C190" s="250" t="s">
        <v>327</v>
      </c>
      <c r="D190" s="190" t="s">
        <v>402</v>
      </c>
      <c r="E190" s="257" t="s">
        <v>403</v>
      </c>
      <c r="F190" s="191" t="s">
        <v>404</v>
      </c>
      <c r="G190" s="262" t="s">
        <v>406</v>
      </c>
    </row>
    <row r="191" spans="1:7" ht="15" customHeight="1" x14ac:dyDescent="0.2">
      <c r="A191" s="246">
        <v>80106002</v>
      </c>
      <c r="B191" s="59" t="s">
        <v>328</v>
      </c>
      <c r="C191" s="115" t="s">
        <v>329</v>
      </c>
      <c r="D191" s="190" t="s">
        <v>402</v>
      </c>
      <c r="E191" s="213" t="s">
        <v>403</v>
      </c>
      <c r="F191" s="191" t="s">
        <v>404</v>
      </c>
      <c r="G191" s="262" t="s">
        <v>406</v>
      </c>
    </row>
    <row r="192" spans="1:7" ht="15" customHeight="1" x14ac:dyDescent="0.2">
      <c r="A192" s="248">
        <v>82201019</v>
      </c>
      <c r="B192" s="61"/>
      <c r="C192" s="259" t="s">
        <v>330</v>
      </c>
      <c r="D192" s="190" t="s">
        <v>402</v>
      </c>
      <c r="E192" s="213" t="s">
        <v>403</v>
      </c>
      <c r="F192" s="191" t="s">
        <v>404</v>
      </c>
      <c r="G192" s="262" t="s">
        <v>406</v>
      </c>
    </row>
    <row r="193" spans="1:7" ht="15" customHeight="1" x14ac:dyDescent="0.2">
      <c r="A193" s="248">
        <v>82201020</v>
      </c>
      <c r="B193" s="61"/>
      <c r="C193" s="259" t="s">
        <v>331</v>
      </c>
      <c r="D193" s="190" t="s">
        <v>402</v>
      </c>
      <c r="E193" s="213" t="s">
        <v>403</v>
      </c>
      <c r="F193" s="191" t="s">
        <v>404</v>
      </c>
      <c r="G193" s="262" t="s">
        <v>406</v>
      </c>
    </row>
    <row r="194" spans="1:7" ht="15" customHeight="1" x14ac:dyDescent="0.2">
      <c r="A194" s="248">
        <v>82201021</v>
      </c>
      <c r="B194" s="206"/>
      <c r="C194" s="259" t="s">
        <v>332</v>
      </c>
      <c r="D194" s="201" t="s">
        <v>402</v>
      </c>
      <c r="E194" s="257" t="s">
        <v>403</v>
      </c>
      <c r="F194" s="258" t="s">
        <v>404</v>
      </c>
      <c r="G194" s="262" t="s">
        <v>406</v>
      </c>
    </row>
    <row r="195" spans="1:7" ht="15" customHeight="1" x14ac:dyDescent="0.2">
      <c r="A195" s="246">
        <v>80106023</v>
      </c>
      <c r="B195" s="61"/>
      <c r="C195" s="123" t="s">
        <v>333</v>
      </c>
      <c r="D195" s="190" t="s">
        <v>402</v>
      </c>
      <c r="E195" s="213" t="s">
        <v>403</v>
      </c>
      <c r="F195" s="191" t="s">
        <v>404</v>
      </c>
      <c r="G195" s="262" t="s">
        <v>406</v>
      </c>
    </row>
    <row r="196" spans="1:7" ht="15" customHeight="1" x14ac:dyDescent="0.2">
      <c r="A196" s="246">
        <v>80106007</v>
      </c>
      <c r="B196" s="61" t="s">
        <v>334</v>
      </c>
      <c r="C196" s="115" t="s">
        <v>335</v>
      </c>
      <c r="D196" s="190" t="s">
        <v>402</v>
      </c>
      <c r="E196" s="213" t="s">
        <v>403</v>
      </c>
      <c r="F196" s="191" t="s">
        <v>404</v>
      </c>
      <c r="G196" s="262" t="s">
        <v>406</v>
      </c>
    </row>
    <row r="197" spans="1:7" ht="15" customHeight="1" x14ac:dyDescent="0.2">
      <c r="A197" s="246">
        <v>80106008</v>
      </c>
      <c r="B197" s="61" t="s">
        <v>336</v>
      </c>
      <c r="C197" s="115" t="s">
        <v>337</v>
      </c>
      <c r="D197" s="190" t="s">
        <v>402</v>
      </c>
      <c r="E197" s="213" t="s">
        <v>403</v>
      </c>
      <c r="F197" s="191" t="s">
        <v>404</v>
      </c>
      <c r="G197" s="262" t="s">
        <v>406</v>
      </c>
    </row>
    <row r="198" spans="1:7" ht="15" customHeight="1" x14ac:dyDescent="0.2">
      <c r="A198" s="246">
        <v>80106010</v>
      </c>
      <c r="B198" s="61" t="s">
        <v>338</v>
      </c>
      <c r="C198" s="115" t="s">
        <v>339</v>
      </c>
      <c r="D198" s="190" t="s">
        <v>402</v>
      </c>
      <c r="E198" s="213" t="s">
        <v>403</v>
      </c>
      <c r="F198" s="191" t="s">
        <v>404</v>
      </c>
      <c r="G198" s="262" t="s">
        <v>406</v>
      </c>
    </row>
    <row r="199" spans="1:7" ht="15" customHeight="1" x14ac:dyDescent="0.2">
      <c r="A199" s="246">
        <v>80106011</v>
      </c>
      <c r="B199" s="61" t="s">
        <v>340</v>
      </c>
      <c r="C199" s="115" t="s">
        <v>341</v>
      </c>
      <c r="D199" s="190" t="s">
        <v>402</v>
      </c>
      <c r="E199" s="213" t="s">
        <v>403</v>
      </c>
      <c r="F199" s="191" t="s">
        <v>404</v>
      </c>
      <c r="G199" s="262" t="s">
        <v>406</v>
      </c>
    </row>
    <row r="200" spans="1:7" ht="15" customHeight="1" x14ac:dyDescent="0.2">
      <c r="A200" s="246">
        <v>80106012</v>
      </c>
      <c r="B200" s="61" t="s">
        <v>342</v>
      </c>
      <c r="C200" s="115" t="s">
        <v>343</v>
      </c>
      <c r="D200" s="190" t="s">
        <v>402</v>
      </c>
      <c r="E200" s="213" t="s">
        <v>403</v>
      </c>
      <c r="F200" s="191" t="s">
        <v>404</v>
      </c>
      <c r="G200" s="262" t="s">
        <v>406</v>
      </c>
    </row>
    <row r="201" spans="1:7" ht="15" customHeight="1" x14ac:dyDescent="0.2">
      <c r="A201" s="246">
        <v>80106013</v>
      </c>
      <c r="B201" s="61" t="s">
        <v>344</v>
      </c>
      <c r="C201" s="115" t="s">
        <v>345</v>
      </c>
      <c r="D201" s="190" t="s">
        <v>402</v>
      </c>
      <c r="E201" s="213" t="s">
        <v>403</v>
      </c>
      <c r="F201" s="191" t="s">
        <v>404</v>
      </c>
      <c r="G201" s="262" t="s">
        <v>406</v>
      </c>
    </row>
    <row r="202" spans="1:7" ht="15" customHeight="1" x14ac:dyDescent="0.2">
      <c r="A202" s="246">
        <v>80106014</v>
      </c>
      <c r="B202" s="61" t="s">
        <v>346</v>
      </c>
      <c r="C202" s="115" t="s">
        <v>347</v>
      </c>
      <c r="D202" s="190" t="s">
        <v>402</v>
      </c>
      <c r="E202" s="213" t="s">
        <v>403</v>
      </c>
      <c r="F202" s="191" t="s">
        <v>404</v>
      </c>
      <c r="G202" s="262" t="s">
        <v>406</v>
      </c>
    </row>
    <row r="203" spans="1:7" ht="15" customHeight="1" x14ac:dyDescent="0.2">
      <c r="A203" s="246">
        <v>80106015</v>
      </c>
      <c r="B203" s="61" t="s">
        <v>348</v>
      </c>
      <c r="C203" s="115" t="s">
        <v>349</v>
      </c>
      <c r="D203" s="190" t="s">
        <v>402</v>
      </c>
      <c r="E203" s="213" t="s">
        <v>403</v>
      </c>
      <c r="F203" s="191" t="s">
        <v>404</v>
      </c>
      <c r="G203" s="262" t="s">
        <v>406</v>
      </c>
    </row>
    <row r="204" spans="1:7" ht="15" customHeight="1" x14ac:dyDescent="0.2">
      <c r="A204" s="246">
        <v>80307011</v>
      </c>
      <c r="B204" s="61" t="s">
        <v>350</v>
      </c>
      <c r="C204" s="115" t="s">
        <v>351</v>
      </c>
      <c r="D204" s="190" t="s">
        <v>402</v>
      </c>
      <c r="E204" s="213" t="s">
        <v>403</v>
      </c>
      <c r="F204" s="191" t="s">
        <v>404</v>
      </c>
      <c r="G204" s="64" t="s">
        <v>406</v>
      </c>
    </row>
    <row r="205" spans="1:7" ht="15" customHeight="1" x14ac:dyDescent="0.2">
      <c r="A205" s="246">
        <v>80307012</v>
      </c>
      <c r="B205" s="61" t="s">
        <v>352</v>
      </c>
      <c r="C205" s="187" t="s">
        <v>353</v>
      </c>
      <c r="D205" s="190" t="s">
        <v>402</v>
      </c>
      <c r="E205" s="214" t="s">
        <v>403</v>
      </c>
      <c r="F205" s="191" t="s">
        <v>404</v>
      </c>
      <c r="G205" s="185" t="s">
        <v>406</v>
      </c>
    </row>
    <row r="206" spans="1:7" ht="15" customHeight="1" x14ac:dyDescent="0.2">
      <c r="A206" s="244"/>
      <c r="B206" s="348" t="s">
        <v>62</v>
      </c>
      <c r="C206" s="349"/>
      <c r="D206" s="67">
        <f>SUM(D189:D205)</f>
        <v>0</v>
      </c>
      <c r="E206" s="215">
        <f t="shared" ref="E206:G206" si="4">SUM(E189:E205)</f>
        <v>0</v>
      </c>
      <c r="F206" s="67">
        <f t="shared" si="4"/>
        <v>0</v>
      </c>
      <c r="G206" s="67">
        <f t="shared" si="4"/>
        <v>0</v>
      </c>
    </row>
    <row r="207" spans="1:7" ht="15" customHeight="1" x14ac:dyDescent="0.2">
      <c r="B207" s="124"/>
      <c r="C207" s="124"/>
      <c r="D207" s="126"/>
      <c r="E207" s="126"/>
      <c r="F207" s="126"/>
    </row>
    <row r="209" spans="1:1" ht="14.1" customHeight="1" x14ac:dyDescent="0.2">
      <c r="A209" s="118" t="s">
        <v>405</v>
      </c>
    </row>
    <row r="210" spans="1:1" ht="14.1" customHeight="1" x14ac:dyDescent="0.2">
      <c r="A210" s="240">
        <v>82201010</v>
      </c>
    </row>
    <row r="211" spans="1:1" ht="14.1" customHeight="1" x14ac:dyDescent="0.2">
      <c r="A211" s="240">
        <v>82201011</v>
      </c>
    </row>
    <row r="212" spans="1:1" ht="14.1" customHeight="1" x14ac:dyDescent="0.2">
      <c r="A212" s="240">
        <v>82201012</v>
      </c>
    </row>
    <row r="213" spans="1:1" ht="14.1" customHeight="1" x14ac:dyDescent="0.2">
      <c r="A213" s="240">
        <v>82201013</v>
      </c>
    </row>
    <row r="214" spans="1:1" ht="14.1" customHeight="1" x14ac:dyDescent="0.2">
      <c r="A214" s="240">
        <v>80306112</v>
      </c>
    </row>
    <row r="215" spans="1:1" ht="14.1" customHeight="1" x14ac:dyDescent="0.2">
      <c r="A215" s="240">
        <v>82201014</v>
      </c>
    </row>
    <row r="216" spans="1:1" ht="14.1" customHeight="1" x14ac:dyDescent="0.2">
      <c r="A216" s="240">
        <v>82201015</v>
      </c>
    </row>
    <row r="217" spans="1:1" ht="14.1" customHeight="1" x14ac:dyDescent="0.2">
      <c r="A217" s="240">
        <v>82201016</v>
      </c>
    </row>
    <row r="218" spans="1:1" ht="14.1" customHeight="1" x14ac:dyDescent="0.2">
      <c r="A218" s="240">
        <v>82201017</v>
      </c>
    </row>
    <row r="219" spans="1:1" ht="14.1" customHeight="1" x14ac:dyDescent="0.2">
      <c r="A219" s="240">
        <v>82201018</v>
      </c>
    </row>
    <row r="220" spans="1:1" ht="14.1" customHeight="1" x14ac:dyDescent="0.2">
      <c r="A220" s="240">
        <v>82201019</v>
      </c>
    </row>
    <row r="221" spans="1:1" ht="14.1" customHeight="1" x14ac:dyDescent="0.2">
      <c r="A221" s="240">
        <v>82201020</v>
      </c>
    </row>
    <row r="222" spans="1:1" ht="14.1" customHeight="1" x14ac:dyDescent="0.2">
      <c r="A222" s="240">
        <v>82201021</v>
      </c>
    </row>
    <row r="224" spans="1:1" ht="14.1" customHeight="1" x14ac:dyDescent="0.2">
      <c r="A224" s="240"/>
    </row>
    <row r="225" spans="1:1" ht="14.1" customHeight="1" x14ac:dyDescent="0.2">
      <c r="A225" s="118" t="s">
        <v>390</v>
      </c>
    </row>
    <row r="226" spans="1:1" ht="14.1" customHeight="1" x14ac:dyDescent="0.2">
      <c r="A226" s="237">
        <v>80301001</v>
      </c>
    </row>
    <row r="227" spans="1:1" ht="14.1" customHeight="1" x14ac:dyDescent="0.2">
      <c r="A227" s="237">
        <v>80301002</v>
      </c>
    </row>
    <row r="228" spans="1:1" ht="14.1" customHeight="1" x14ac:dyDescent="0.2">
      <c r="A228" s="237">
        <v>80301003</v>
      </c>
    </row>
    <row r="229" spans="1:1" ht="14.1" customHeight="1" x14ac:dyDescent="0.2">
      <c r="A229" s="237">
        <v>80301004</v>
      </c>
    </row>
    <row r="230" spans="1:1" ht="14.1" customHeight="1" x14ac:dyDescent="0.2">
      <c r="A230" s="237">
        <v>80301005</v>
      </c>
    </row>
    <row r="231" spans="1:1" ht="14.1" customHeight="1" x14ac:dyDescent="0.2">
      <c r="A231" s="237">
        <v>80301006</v>
      </c>
    </row>
    <row r="232" spans="1:1" ht="14.1" customHeight="1" x14ac:dyDescent="0.2">
      <c r="A232" s="237">
        <v>80301007</v>
      </c>
    </row>
    <row r="233" spans="1:1" ht="14.1" customHeight="1" x14ac:dyDescent="0.2">
      <c r="A233" s="237">
        <v>80301008</v>
      </c>
    </row>
    <row r="234" spans="1:1" ht="14.1" customHeight="1" x14ac:dyDescent="0.2">
      <c r="A234" s="237">
        <v>80301009</v>
      </c>
    </row>
    <row r="235" spans="1:1" ht="14.1" customHeight="1" x14ac:dyDescent="0.2">
      <c r="A235" s="237">
        <v>80301010</v>
      </c>
    </row>
    <row r="236" spans="1:1" ht="14.1" customHeight="1" x14ac:dyDescent="0.2">
      <c r="A236" s="237">
        <v>80301011</v>
      </c>
    </row>
    <row r="237" spans="1:1" ht="14.1" customHeight="1" x14ac:dyDescent="0.2">
      <c r="A237" s="237">
        <v>80301012</v>
      </c>
    </row>
    <row r="238" spans="1:1" ht="14.1" customHeight="1" x14ac:dyDescent="0.2">
      <c r="A238" s="237">
        <v>80301013</v>
      </c>
    </row>
    <row r="239" spans="1:1" ht="14.1" customHeight="1" x14ac:dyDescent="0.2">
      <c r="A239" s="237">
        <v>80301014</v>
      </c>
    </row>
    <row r="240" spans="1:1" ht="14.1" customHeight="1" x14ac:dyDescent="0.2">
      <c r="A240" s="237">
        <v>80301015</v>
      </c>
    </row>
    <row r="241" spans="1:1" ht="14.1" customHeight="1" x14ac:dyDescent="0.2">
      <c r="A241" s="237">
        <v>80301016</v>
      </c>
    </row>
    <row r="242" spans="1:1" ht="14.1" customHeight="1" x14ac:dyDescent="0.2">
      <c r="A242" s="237">
        <v>80301017</v>
      </c>
    </row>
    <row r="243" spans="1:1" ht="14.1" customHeight="1" x14ac:dyDescent="0.2">
      <c r="A243" s="237">
        <v>80301020</v>
      </c>
    </row>
    <row r="244" spans="1:1" ht="14.1" customHeight="1" x14ac:dyDescent="0.2">
      <c r="A244" s="237">
        <v>80301021</v>
      </c>
    </row>
    <row r="245" spans="1:1" ht="14.1" customHeight="1" x14ac:dyDescent="0.2">
      <c r="A245" s="237">
        <v>80301022</v>
      </c>
    </row>
    <row r="246" spans="1:1" ht="14.1" customHeight="1" x14ac:dyDescent="0.2">
      <c r="A246" s="237">
        <v>80301023</v>
      </c>
    </row>
    <row r="247" spans="1:1" ht="14.1" customHeight="1" x14ac:dyDescent="0.2">
      <c r="A247" s="237">
        <v>80301024</v>
      </c>
    </row>
    <row r="248" spans="1:1" ht="14.1" customHeight="1" x14ac:dyDescent="0.2">
      <c r="A248" s="237">
        <v>80301025</v>
      </c>
    </row>
    <row r="249" spans="1:1" ht="14.1" customHeight="1" x14ac:dyDescent="0.2">
      <c r="A249" s="237">
        <v>80301026</v>
      </c>
    </row>
    <row r="250" spans="1:1" ht="14.1" customHeight="1" x14ac:dyDescent="0.2">
      <c r="A250" s="237">
        <v>80301027</v>
      </c>
    </row>
    <row r="251" spans="1:1" ht="14.1" customHeight="1" x14ac:dyDescent="0.2">
      <c r="A251" s="237">
        <v>80301028</v>
      </c>
    </row>
    <row r="252" spans="1:1" ht="14.1" customHeight="1" x14ac:dyDescent="0.2">
      <c r="A252" s="237">
        <v>80301029</v>
      </c>
    </row>
    <row r="253" spans="1:1" ht="14.1" customHeight="1" x14ac:dyDescent="0.2">
      <c r="A253" s="237">
        <v>80301030</v>
      </c>
    </row>
    <row r="254" spans="1:1" ht="14.1" customHeight="1" x14ac:dyDescent="0.2">
      <c r="A254" s="237">
        <v>80301032</v>
      </c>
    </row>
    <row r="255" spans="1:1" ht="14.1" customHeight="1" x14ac:dyDescent="0.2">
      <c r="A255" s="237">
        <v>80301033</v>
      </c>
    </row>
    <row r="256" spans="1:1" ht="14.1" customHeight="1" x14ac:dyDescent="0.2">
      <c r="A256" s="237">
        <v>80301034</v>
      </c>
    </row>
    <row r="257" spans="1:1" ht="14.1" customHeight="1" x14ac:dyDescent="0.2">
      <c r="A257" s="237">
        <v>80301035</v>
      </c>
    </row>
    <row r="258" spans="1:1" ht="14.1" customHeight="1" x14ac:dyDescent="0.2">
      <c r="A258" s="237">
        <v>80301038</v>
      </c>
    </row>
    <row r="259" spans="1:1" ht="14.1" customHeight="1" x14ac:dyDescent="0.2">
      <c r="A259" s="237">
        <v>80301039</v>
      </c>
    </row>
    <row r="260" spans="1:1" ht="14.1" customHeight="1" x14ac:dyDescent="0.2">
      <c r="A260" s="237">
        <v>80301040</v>
      </c>
    </row>
    <row r="261" spans="1:1" ht="14.1" customHeight="1" x14ac:dyDescent="0.2">
      <c r="A261" s="237">
        <v>80301042</v>
      </c>
    </row>
    <row r="262" spans="1:1" ht="14.1" customHeight="1" x14ac:dyDescent="0.2">
      <c r="A262" s="237">
        <v>80301043</v>
      </c>
    </row>
    <row r="263" spans="1:1" ht="14.1" customHeight="1" x14ac:dyDescent="0.2">
      <c r="A263" s="237">
        <v>80301044</v>
      </c>
    </row>
    <row r="264" spans="1:1" ht="14.1" customHeight="1" x14ac:dyDescent="0.2">
      <c r="A264" s="237">
        <v>80301046</v>
      </c>
    </row>
    <row r="265" spans="1:1" ht="14.1" customHeight="1" x14ac:dyDescent="0.2">
      <c r="A265" s="237">
        <v>80301047</v>
      </c>
    </row>
    <row r="266" spans="1:1" ht="14.1" customHeight="1" x14ac:dyDescent="0.2">
      <c r="A266" s="237">
        <v>80301048</v>
      </c>
    </row>
    <row r="267" spans="1:1" ht="14.1" customHeight="1" x14ac:dyDescent="0.2">
      <c r="A267" s="237">
        <v>80301049</v>
      </c>
    </row>
    <row r="268" spans="1:1" ht="14.1" customHeight="1" x14ac:dyDescent="0.2">
      <c r="A268" s="237">
        <v>80301050</v>
      </c>
    </row>
    <row r="269" spans="1:1" ht="14.1" customHeight="1" x14ac:dyDescent="0.2">
      <c r="A269" s="237">
        <v>80301051</v>
      </c>
    </row>
    <row r="270" spans="1:1" ht="14.1" customHeight="1" x14ac:dyDescent="0.2">
      <c r="A270" s="237">
        <v>80301052</v>
      </c>
    </row>
    <row r="271" spans="1:1" ht="14.1" customHeight="1" x14ac:dyDescent="0.2">
      <c r="A271" s="237">
        <v>80301053</v>
      </c>
    </row>
    <row r="272" spans="1:1" ht="14.1" customHeight="1" x14ac:dyDescent="0.2">
      <c r="A272" s="237">
        <v>80301054</v>
      </c>
    </row>
    <row r="273" spans="1:1" ht="14.1" customHeight="1" x14ac:dyDescent="0.2">
      <c r="A273" s="237">
        <v>80301055</v>
      </c>
    </row>
    <row r="274" spans="1:1" ht="14.1" customHeight="1" x14ac:dyDescent="0.2">
      <c r="A274" s="237">
        <v>80301056</v>
      </c>
    </row>
    <row r="275" spans="1:1" ht="14.1" customHeight="1" x14ac:dyDescent="0.2">
      <c r="A275" s="237">
        <v>80301057</v>
      </c>
    </row>
    <row r="276" spans="1:1" ht="14.1" customHeight="1" x14ac:dyDescent="0.2">
      <c r="A276" s="237">
        <v>80301058</v>
      </c>
    </row>
    <row r="277" spans="1:1" ht="14.1" customHeight="1" x14ac:dyDescent="0.2">
      <c r="A277" s="237">
        <v>80301059</v>
      </c>
    </row>
    <row r="278" spans="1:1" ht="14.1" customHeight="1" x14ac:dyDescent="0.2">
      <c r="A278" s="237">
        <v>80301062</v>
      </c>
    </row>
    <row r="279" spans="1:1" ht="14.1" customHeight="1" x14ac:dyDescent="0.2">
      <c r="A279" s="237">
        <v>80301063</v>
      </c>
    </row>
    <row r="280" spans="1:1" ht="14.1" customHeight="1" x14ac:dyDescent="0.2">
      <c r="A280" s="237">
        <v>80301064</v>
      </c>
    </row>
    <row r="281" spans="1:1" ht="14.1" customHeight="1" x14ac:dyDescent="0.2">
      <c r="A281" s="237">
        <v>80301066</v>
      </c>
    </row>
    <row r="282" spans="1:1" ht="14.1" customHeight="1" x14ac:dyDescent="0.2">
      <c r="A282" s="237">
        <v>80301068</v>
      </c>
    </row>
    <row r="283" spans="1:1" ht="14.1" customHeight="1" x14ac:dyDescent="0.2">
      <c r="A283" s="237">
        <v>80301069</v>
      </c>
    </row>
    <row r="284" spans="1:1" ht="14.1" customHeight="1" x14ac:dyDescent="0.2">
      <c r="A284" s="237">
        <v>80301070</v>
      </c>
    </row>
    <row r="285" spans="1:1" ht="14.1" customHeight="1" x14ac:dyDescent="0.2">
      <c r="A285" s="237">
        <v>80301071</v>
      </c>
    </row>
    <row r="286" spans="1:1" ht="14.1" customHeight="1" x14ac:dyDescent="0.2">
      <c r="A286" s="237">
        <v>80301072</v>
      </c>
    </row>
    <row r="287" spans="1:1" ht="14.1" customHeight="1" x14ac:dyDescent="0.2">
      <c r="A287" s="237">
        <v>80301074</v>
      </c>
    </row>
    <row r="288" spans="1:1" ht="14.1" customHeight="1" x14ac:dyDescent="0.2">
      <c r="A288" s="237">
        <v>80301075</v>
      </c>
    </row>
    <row r="289" spans="1:1" ht="14.1" customHeight="1" x14ac:dyDescent="0.2">
      <c r="A289" s="237">
        <v>80301076</v>
      </c>
    </row>
    <row r="290" spans="1:1" ht="14.1" customHeight="1" x14ac:dyDescent="0.2">
      <c r="A290" s="237">
        <v>80301077</v>
      </c>
    </row>
    <row r="291" spans="1:1" ht="14.1" customHeight="1" x14ac:dyDescent="0.2">
      <c r="A291" s="237">
        <v>80301078</v>
      </c>
    </row>
    <row r="292" spans="1:1" ht="14.1" customHeight="1" x14ac:dyDescent="0.2">
      <c r="A292" s="237">
        <v>80301079</v>
      </c>
    </row>
    <row r="293" spans="1:1" ht="14.1" customHeight="1" x14ac:dyDescent="0.2">
      <c r="A293" s="237">
        <v>80301080</v>
      </c>
    </row>
    <row r="294" spans="1:1" ht="14.1" customHeight="1" x14ac:dyDescent="0.2">
      <c r="A294" s="237">
        <v>80301081</v>
      </c>
    </row>
    <row r="295" spans="1:1" ht="14.1" customHeight="1" x14ac:dyDescent="0.2">
      <c r="A295" s="237">
        <v>80301082</v>
      </c>
    </row>
    <row r="296" spans="1:1" ht="14.1" customHeight="1" x14ac:dyDescent="0.2">
      <c r="A296" s="237">
        <v>80301083</v>
      </c>
    </row>
    <row r="297" spans="1:1" ht="14.1" customHeight="1" x14ac:dyDescent="0.2">
      <c r="A297" s="237">
        <v>80301085</v>
      </c>
    </row>
    <row r="298" spans="1:1" ht="14.1" customHeight="1" x14ac:dyDescent="0.2">
      <c r="A298" s="237">
        <v>80301087</v>
      </c>
    </row>
    <row r="299" spans="1:1" ht="14.1" customHeight="1" x14ac:dyDescent="0.2">
      <c r="A299" s="237">
        <v>80301088</v>
      </c>
    </row>
    <row r="300" spans="1:1" ht="14.1" customHeight="1" x14ac:dyDescent="0.2">
      <c r="A300" s="237">
        <v>80301089</v>
      </c>
    </row>
    <row r="301" spans="1:1" ht="14.1" customHeight="1" x14ac:dyDescent="0.2">
      <c r="A301" s="237">
        <v>80301090</v>
      </c>
    </row>
    <row r="302" spans="1:1" ht="14.1" customHeight="1" x14ac:dyDescent="0.2">
      <c r="A302" s="237">
        <v>80301091</v>
      </c>
    </row>
    <row r="303" spans="1:1" ht="14.1" customHeight="1" x14ac:dyDescent="0.2">
      <c r="A303" s="237">
        <v>80301092</v>
      </c>
    </row>
    <row r="304" spans="1:1" ht="14.1" customHeight="1" x14ac:dyDescent="0.2">
      <c r="A304" s="237">
        <v>80301093</v>
      </c>
    </row>
    <row r="305" spans="1:1" ht="14.1" customHeight="1" x14ac:dyDescent="0.2">
      <c r="A305" s="237">
        <v>80302001</v>
      </c>
    </row>
    <row r="306" spans="1:1" ht="14.1" customHeight="1" x14ac:dyDescent="0.2">
      <c r="A306" s="237">
        <v>80302002</v>
      </c>
    </row>
    <row r="307" spans="1:1" ht="14.1" customHeight="1" x14ac:dyDescent="0.2">
      <c r="A307" s="237">
        <v>80302004</v>
      </c>
    </row>
    <row r="308" spans="1:1" ht="14.1" customHeight="1" x14ac:dyDescent="0.2">
      <c r="A308" s="237">
        <v>80302006</v>
      </c>
    </row>
    <row r="309" spans="1:1" ht="14.1" customHeight="1" x14ac:dyDescent="0.2">
      <c r="A309" s="237">
        <v>80302007</v>
      </c>
    </row>
    <row r="310" spans="1:1" ht="14.1" customHeight="1" x14ac:dyDescent="0.2">
      <c r="A310" s="237">
        <v>80302008</v>
      </c>
    </row>
    <row r="311" spans="1:1" ht="14.1" customHeight="1" x14ac:dyDescent="0.2">
      <c r="A311" s="237">
        <v>80302009</v>
      </c>
    </row>
    <row r="312" spans="1:1" ht="14.1" customHeight="1" x14ac:dyDescent="0.2">
      <c r="A312" s="237">
        <v>80302010</v>
      </c>
    </row>
    <row r="313" spans="1:1" ht="14.1" customHeight="1" x14ac:dyDescent="0.2">
      <c r="A313" s="237">
        <v>80302070</v>
      </c>
    </row>
    <row r="314" spans="1:1" ht="14.1" customHeight="1" x14ac:dyDescent="0.2">
      <c r="A314" s="237">
        <v>80302011</v>
      </c>
    </row>
    <row r="315" spans="1:1" ht="14.1" customHeight="1" x14ac:dyDescent="0.2">
      <c r="A315" s="237">
        <v>80302012</v>
      </c>
    </row>
    <row r="316" spans="1:1" ht="14.1" customHeight="1" x14ac:dyDescent="0.2">
      <c r="A316" s="237">
        <v>80302014</v>
      </c>
    </row>
    <row r="317" spans="1:1" ht="14.1" customHeight="1" x14ac:dyDescent="0.2">
      <c r="A317" s="237">
        <v>80302015</v>
      </c>
    </row>
    <row r="318" spans="1:1" ht="14.1" customHeight="1" x14ac:dyDescent="0.2">
      <c r="A318" s="237">
        <v>80302016</v>
      </c>
    </row>
    <row r="319" spans="1:1" ht="14.1" customHeight="1" x14ac:dyDescent="0.2">
      <c r="A319" s="237">
        <v>80302017</v>
      </c>
    </row>
    <row r="320" spans="1:1" ht="14.1" customHeight="1" x14ac:dyDescent="0.2">
      <c r="A320" s="237">
        <v>80302018</v>
      </c>
    </row>
    <row r="321" spans="1:1" ht="14.1" customHeight="1" x14ac:dyDescent="0.2">
      <c r="A321" s="237">
        <v>80302019</v>
      </c>
    </row>
    <row r="322" spans="1:1" ht="14.1" customHeight="1" x14ac:dyDescent="0.2">
      <c r="A322" s="237">
        <v>80302020</v>
      </c>
    </row>
    <row r="323" spans="1:1" ht="14.1" customHeight="1" x14ac:dyDescent="0.2">
      <c r="A323" s="237">
        <v>80302021</v>
      </c>
    </row>
    <row r="324" spans="1:1" ht="14.1" customHeight="1" x14ac:dyDescent="0.2">
      <c r="A324" s="237">
        <v>80302022</v>
      </c>
    </row>
    <row r="325" spans="1:1" ht="14.1" customHeight="1" x14ac:dyDescent="0.2">
      <c r="A325" s="237">
        <v>80302025</v>
      </c>
    </row>
    <row r="326" spans="1:1" ht="14.1" customHeight="1" x14ac:dyDescent="0.2">
      <c r="A326" s="237">
        <v>80302026</v>
      </c>
    </row>
    <row r="327" spans="1:1" ht="14.1" customHeight="1" x14ac:dyDescent="0.2">
      <c r="A327" s="237">
        <v>80302028</v>
      </c>
    </row>
    <row r="328" spans="1:1" ht="14.1" customHeight="1" x14ac:dyDescent="0.2">
      <c r="A328" s="237">
        <v>80302029</v>
      </c>
    </row>
    <row r="329" spans="1:1" ht="14.1" customHeight="1" x14ac:dyDescent="0.2">
      <c r="A329" s="237">
        <v>80302030</v>
      </c>
    </row>
    <row r="330" spans="1:1" ht="14.1" customHeight="1" x14ac:dyDescent="0.2">
      <c r="A330" s="237">
        <v>80302031</v>
      </c>
    </row>
    <row r="331" spans="1:1" ht="14.1" customHeight="1" x14ac:dyDescent="0.2">
      <c r="A331" s="237">
        <v>80302033</v>
      </c>
    </row>
    <row r="332" spans="1:1" ht="14.1" customHeight="1" x14ac:dyDescent="0.2">
      <c r="A332" s="237">
        <v>80302036</v>
      </c>
    </row>
    <row r="333" spans="1:1" ht="14.1" customHeight="1" x14ac:dyDescent="0.2">
      <c r="A333" s="237">
        <v>80302037</v>
      </c>
    </row>
    <row r="334" spans="1:1" ht="14.1" customHeight="1" x14ac:dyDescent="0.2">
      <c r="A334" s="237">
        <v>80302038</v>
      </c>
    </row>
    <row r="335" spans="1:1" ht="14.1" customHeight="1" x14ac:dyDescent="0.2">
      <c r="A335" s="237">
        <v>80302039</v>
      </c>
    </row>
    <row r="336" spans="1:1" ht="14.1" customHeight="1" x14ac:dyDescent="0.2">
      <c r="A336" s="237">
        <v>80302041</v>
      </c>
    </row>
    <row r="337" spans="1:1" ht="14.1" customHeight="1" x14ac:dyDescent="0.2">
      <c r="A337" s="237">
        <v>80302042</v>
      </c>
    </row>
    <row r="338" spans="1:1" ht="14.1" customHeight="1" x14ac:dyDescent="0.2">
      <c r="A338" s="237">
        <v>80302043</v>
      </c>
    </row>
    <row r="339" spans="1:1" ht="14.1" customHeight="1" x14ac:dyDescent="0.2">
      <c r="A339" s="237">
        <v>80302044</v>
      </c>
    </row>
    <row r="340" spans="1:1" ht="14.1" customHeight="1" x14ac:dyDescent="0.2">
      <c r="A340" s="237">
        <v>80302045</v>
      </c>
    </row>
    <row r="341" spans="1:1" ht="14.1" customHeight="1" x14ac:dyDescent="0.2">
      <c r="A341" s="237">
        <v>80302046</v>
      </c>
    </row>
    <row r="342" spans="1:1" ht="14.1" customHeight="1" x14ac:dyDescent="0.2">
      <c r="A342" s="237">
        <v>80302050</v>
      </c>
    </row>
    <row r="343" spans="1:1" ht="14.1" customHeight="1" x14ac:dyDescent="0.2">
      <c r="A343" s="237">
        <v>80302051</v>
      </c>
    </row>
    <row r="344" spans="1:1" ht="14.1" customHeight="1" x14ac:dyDescent="0.2">
      <c r="A344" s="237">
        <v>80302052</v>
      </c>
    </row>
    <row r="345" spans="1:1" ht="14.1" customHeight="1" x14ac:dyDescent="0.2">
      <c r="A345" s="237">
        <v>80302053</v>
      </c>
    </row>
    <row r="346" spans="1:1" ht="14.1" customHeight="1" x14ac:dyDescent="0.2">
      <c r="A346" s="237">
        <v>80302069</v>
      </c>
    </row>
    <row r="347" spans="1:1" ht="14.1" customHeight="1" x14ac:dyDescent="0.2">
      <c r="A347" s="237">
        <v>80302054</v>
      </c>
    </row>
    <row r="348" spans="1:1" ht="14.1" customHeight="1" x14ac:dyDescent="0.2">
      <c r="A348" s="237">
        <v>80302055</v>
      </c>
    </row>
    <row r="349" spans="1:1" ht="14.1" customHeight="1" x14ac:dyDescent="0.2">
      <c r="A349" s="237">
        <v>80302056</v>
      </c>
    </row>
    <row r="350" spans="1:1" ht="14.1" customHeight="1" x14ac:dyDescent="0.2">
      <c r="A350" s="237">
        <v>80302058</v>
      </c>
    </row>
    <row r="351" spans="1:1" ht="14.1" customHeight="1" x14ac:dyDescent="0.2">
      <c r="A351" s="237">
        <v>80302059</v>
      </c>
    </row>
    <row r="352" spans="1:1" ht="14.1" customHeight="1" x14ac:dyDescent="0.2">
      <c r="A352" s="237">
        <v>80302060</v>
      </c>
    </row>
    <row r="353" spans="1:1" ht="14.1" customHeight="1" x14ac:dyDescent="0.2">
      <c r="A353" s="237">
        <v>80302061</v>
      </c>
    </row>
    <row r="354" spans="1:1" ht="14.1" customHeight="1" x14ac:dyDescent="0.2">
      <c r="A354" s="237">
        <v>80302062</v>
      </c>
    </row>
    <row r="355" spans="1:1" ht="14.1" customHeight="1" x14ac:dyDescent="0.2">
      <c r="A355" s="237">
        <v>80302065</v>
      </c>
    </row>
    <row r="356" spans="1:1" ht="14.1" customHeight="1" x14ac:dyDescent="0.2">
      <c r="A356" s="237">
        <v>80302066</v>
      </c>
    </row>
    <row r="357" spans="1:1" ht="14.1" customHeight="1" x14ac:dyDescent="0.2">
      <c r="A357" s="237">
        <v>80303015</v>
      </c>
    </row>
    <row r="358" spans="1:1" ht="14.1" customHeight="1" x14ac:dyDescent="0.2">
      <c r="A358" s="237">
        <v>80303025</v>
      </c>
    </row>
    <row r="359" spans="1:1" ht="14.1" customHeight="1" x14ac:dyDescent="0.2">
      <c r="A359" s="237">
        <v>80303028</v>
      </c>
    </row>
    <row r="360" spans="1:1" ht="14.1" customHeight="1" x14ac:dyDescent="0.2">
      <c r="A360" s="237">
        <v>80305001</v>
      </c>
    </row>
    <row r="361" spans="1:1" ht="14.1" customHeight="1" x14ac:dyDescent="0.2">
      <c r="A361" s="237">
        <v>80305002</v>
      </c>
    </row>
    <row r="362" spans="1:1" ht="14.1" customHeight="1" x14ac:dyDescent="0.2">
      <c r="A362" s="237">
        <v>80305003</v>
      </c>
    </row>
    <row r="363" spans="1:1" ht="14.1" customHeight="1" x14ac:dyDescent="0.2">
      <c r="A363" s="237">
        <v>80305004</v>
      </c>
    </row>
    <row r="364" spans="1:1" ht="14.1" customHeight="1" x14ac:dyDescent="0.2">
      <c r="A364" s="237">
        <v>80305005</v>
      </c>
    </row>
    <row r="365" spans="1:1" ht="14.1" customHeight="1" x14ac:dyDescent="0.2">
      <c r="A365" s="237">
        <v>80305006</v>
      </c>
    </row>
    <row r="366" spans="1:1" ht="14.1" customHeight="1" x14ac:dyDescent="0.2">
      <c r="A366" s="237">
        <v>80305007</v>
      </c>
    </row>
    <row r="367" spans="1:1" ht="14.1" customHeight="1" x14ac:dyDescent="0.2">
      <c r="A367" s="237">
        <v>80305008</v>
      </c>
    </row>
    <row r="368" spans="1:1" ht="14.1" customHeight="1" x14ac:dyDescent="0.2">
      <c r="A368" s="237">
        <v>80305009</v>
      </c>
    </row>
    <row r="369" spans="1:1" ht="14.1" customHeight="1" x14ac:dyDescent="0.2">
      <c r="A369" s="237">
        <v>80305070</v>
      </c>
    </row>
    <row r="370" spans="1:1" ht="14.1" customHeight="1" x14ac:dyDescent="0.2">
      <c r="A370" s="237">
        <v>80305170</v>
      </c>
    </row>
    <row r="371" spans="1:1" ht="14.1" customHeight="1" x14ac:dyDescent="0.2">
      <c r="A371" s="237">
        <v>80305010</v>
      </c>
    </row>
    <row r="372" spans="1:1" ht="14.1" customHeight="1" x14ac:dyDescent="0.2">
      <c r="A372" s="237">
        <v>80305011</v>
      </c>
    </row>
    <row r="373" spans="1:1" ht="14.1" customHeight="1" x14ac:dyDescent="0.2">
      <c r="A373" s="237">
        <v>80305012</v>
      </c>
    </row>
    <row r="374" spans="1:1" ht="14.1" customHeight="1" x14ac:dyDescent="0.2">
      <c r="A374" s="237">
        <v>80305013</v>
      </c>
    </row>
    <row r="375" spans="1:1" ht="14.1" customHeight="1" x14ac:dyDescent="0.2">
      <c r="A375" s="237">
        <v>80305014</v>
      </c>
    </row>
    <row r="376" spans="1:1" ht="14.1" customHeight="1" x14ac:dyDescent="0.2">
      <c r="A376" s="237">
        <v>80305015</v>
      </c>
    </row>
    <row r="377" spans="1:1" ht="14.1" customHeight="1" x14ac:dyDescent="0.2">
      <c r="A377" s="237">
        <v>80305016</v>
      </c>
    </row>
    <row r="378" spans="1:1" ht="14.1" customHeight="1" x14ac:dyDescent="0.2">
      <c r="A378" s="237">
        <v>80305017</v>
      </c>
    </row>
    <row r="379" spans="1:1" ht="14.1" customHeight="1" x14ac:dyDescent="0.2">
      <c r="A379" s="237">
        <v>80305018</v>
      </c>
    </row>
    <row r="380" spans="1:1" ht="14.1" customHeight="1" x14ac:dyDescent="0.2">
      <c r="A380" s="237">
        <v>80305021</v>
      </c>
    </row>
    <row r="381" spans="1:1" ht="14.1" customHeight="1" x14ac:dyDescent="0.2">
      <c r="A381" s="237">
        <v>80305025</v>
      </c>
    </row>
    <row r="382" spans="1:1" ht="14.1" customHeight="1" x14ac:dyDescent="0.2">
      <c r="A382" s="237">
        <v>80305026</v>
      </c>
    </row>
    <row r="383" spans="1:1" ht="14.1" customHeight="1" x14ac:dyDescent="0.2">
      <c r="A383" s="237">
        <v>80305027</v>
      </c>
    </row>
    <row r="384" spans="1:1" ht="14.1" customHeight="1" x14ac:dyDescent="0.2">
      <c r="A384" s="237">
        <v>80305028</v>
      </c>
    </row>
    <row r="385" spans="1:1" ht="14.1" customHeight="1" x14ac:dyDescent="0.2">
      <c r="A385" s="237">
        <v>80305029</v>
      </c>
    </row>
    <row r="386" spans="1:1" ht="14.1" customHeight="1" x14ac:dyDescent="0.2">
      <c r="A386" s="237">
        <v>80305030</v>
      </c>
    </row>
    <row r="387" spans="1:1" ht="14.1" customHeight="1" x14ac:dyDescent="0.2">
      <c r="A387" s="237">
        <v>80305031</v>
      </c>
    </row>
    <row r="388" spans="1:1" ht="14.1" customHeight="1" x14ac:dyDescent="0.2">
      <c r="A388" s="237">
        <v>80305034</v>
      </c>
    </row>
    <row r="389" spans="1:1" ht="14.1" customHeight="1" x14ac:dyDescent="0.2">
      <c r="A389" s="237">
        <v>80305035</v>
      </c>
    </row>
    <row r="390" spans="1:1" ht="14.1" customHeight="1" x14ac:dyDescent="0.2">
      <c r="A390" s="237">
        <v>80305036</v>
      </c>
    </row>
    <row r="391" spans="1:1" ht="14.1" customHeight="1" x14ac:dyDescent="0.2">
      <c r="A391" s="237">
        <v>80305037</v>
      </c>
    </row>
    <row r="392" spans="1:1" ht="14.1" customHeight="1" x14ac:dyDescent="0.2">
      <c r="A392" s="237">
        <v>80305038</v>
      </c>
    </row>
    <row r="393" spans="1:1" ht="14.1" customHeight="1" x14ac:dyDescent="0.2">
      <c r="A393" s="237">
        <v>80305039</v>
      </c>
    </row>
    <row r="394" spans="1:1" ht="14.1" customHeight="1" x14ac:dyDescent="0.2">
      <c r="A394" s="237">
        <v>80305040</v>
      </c>
    </row>
    <row r="395" spans="1:1" ht="14.1" customHeight="1" x14ac:dyDescent="0.2">
      <c r="A395" s="237">
        <v>80305041</v>
      </c>
    </row>
    <row r="396" spans="1:1" ht="14.1" customHeight="1" x14ac:dyDescent="0.2">
      <c r="A396" s="237">
        <v>80305042</v>
      </c>
    </row>
    <row r="397" spans="1:1" ht="14.1" customHeight="1" x14ac:dyDescent="0.2">
      <c r="A397" s="237">
        <v>80305043</v>
      </c>
    </row>
    <row r="398" spans="1:1" ht="14.1" customHeight="1" x14ac:dyDescent="0.2">
      <c r="A398" s="237">
        <v>80305044</v>
      </c>
    </row>
    <row r="399" spans="1:1" ht="14.1" customHeight="1" x14ac:dyDescent="0.2">
      <c r="A399" s="237">
        <v>80305045</v>
      </c>
    </row>
    <row r="400" spans="1:1" ht="14.1" customHeight="1" x14ac:dyDescent="0.2">
      <c r="A400" s="237">
        <v>80305047</v>
      </c>
    </row>
    <row r="401" spans="1:1" ht="14.1" customHeight="1" x14ac:dyDescent="0.2">
      <c r="A401" s="237">
        <v>80305048</v>
      </c>
    </row>
    <row r="402" spans="1:1" ht="14.1" customHeight="1" x14ac:dyDescent="0.2">
      <c r="A402" s="237">
        <v>80305049</v>
      </c>
    </row>
    <row r="403" spans="1:1" ht="14.1" customHeight="1" x14ac:dyDescent="0.2">
      <c r="A403" s="237">
        <v>80305051</v>
      </c>
    </row>
    <row r="404" spans="1:1" ht="14.1" customHeight="1" x14ac:dyDescent="0.2">
      <c r="A404" s="237">
        <v>80305052</v>
      </c>
    </row>
    <row r="405" spans="1:1" ht="14.1" customHeight="1" x14ac:dyDescent="0.2">
      <c r="A405" s="237">
        <v>80305053</v>
      </c>
    </row>
    <row r="406" spans="1:1" ht="14.1" customHeight="1" x14ac:dyDescent="0.2">
      <c r="A406" s="237">
        <v>80305054</v>
      </c>
    </row>
    <row r="407" spans="1:1" ht="14.1" customHeight="1" x14ac:dyDescent="0.2">
      <c r="A407" s="237">
        <v>80305056</v>
      </c>
    </row>
    <row r="408" spans="1:1" ht="14.1" customHeight="1" x14ac:dyDescent="0.2">
      <c r="A408" s="237">
        <v>80305057</v>
      </c>
    </row>
    <row r="409" spans="1:1" ht="14.1" customHeight="1" x14ac:dyDescent="0.2">
      <c r="A409" s="237">
        <v>80305058</v>
      </c>
    </row>
    <row r="410" spans="1:1" ht="14.1" customHeight="1" x14ac:dyDescent="0.2">
      <c r="A410" s="237">
        <v>80305059</v>
      </c>
    </row>
    <row r="411" spans="1:1" ht="14.1" customHeight="1" x14ac:dyDescent="0.2">
      <c r="A411" s="237">
        <v>80305060</v>
      </c>
    </row>
    <row r="412" spans="1:1" ht="14.1" customHeight="1" x14ac:dyDescent="0.2">
      <c r="A412" s="237">
        <v>80305061</v>
      </c>
    </row>
    <row r="413" spans="1:1" ht="14.1" customHeight="1" x14ac:dyDescent="0.2">
      <c r="A413" s="237">
        <v>80305062</v>
      </c>
    </row>
    <row r="414" spans="1:1" ht="14.1" customHeight="1" x14ac:dyDescent="0.2">
      <c r="A414" s="237">
        <v>80305063</v>
      </c>
    </row>
    <row r="415" spans="1:1" ht="14.1" customHeight="1" x14ac:dyDescent="0.2">
      <c r="A415" s="237">
        <v>80306001</v>
      </c>
    </row>
    <row r="416" spans="1:1" ht="14.1" customHeight="1" x14ac:dyDescent="0.2">
      <c r="A416" s="237">
        <v>80306006</v>
      </c>
    </row>
    <row r="417" spans="1:1" ht="14.1" customHeight="1" x14ac:dyDescent="0.2">
      <c r="A417" s="237">
        <v>80306008</v>
      </c>
    </row>
    <row r="418" spans="1:1" ht="14.1" customHeight="1" x14ac:dyDescent="0.2">
      <c r="A418" s="237">
        <v>80306009</v>
      </c>
    </row>
    <row r="419" spans="1:1" ht="14.1" customHeight="1" x14ac:dyDescent="0.2">
      <c r="A419" s="237">
        <v>80306010</v>
      </c>
    </row>
    <row r="420" spans="1:1" ht="14.1" customHeight="1" x14ac:dyDescent="0.2">
      <c r="A420" s="237">
        <v>80306012</v>
      </c>
    </row>
    <row r="421" spans="1:1" ht="14.1" customHeight="1" x14ac:dyDescent="0.2">
      <c r="A421" s="237">
        <v>80306013</v>
      </c>
    </row>
    <row r="422" spans="1:1" ht="14.1" customHeight="1" x14ac:dyDescent="0.2">
      <c r="A422" s="237">
        <v>80306014</v>
      </c>
    </row>
    <row r="423" spans="1:1" ht="14.1" customHeight="1" x14ac:dyDescent="0.2">
      <c r="A423" s="237">
        <v>80306015</v>
      </c>
    </row>
    <row r="424" spans="1:1" ht="14.1" customHeight="1" x14ac:dyDescent="0.2">
      <c r="A424" s="237">
        <v>80306017</v>
      </c>
    </row>
    <row r="425" spans="1:1" ht="14.1" customHeight="1" x14ac:dyDescent="0.2">
      <c r="A425" s="237">
        <v>80306117</v>
      </c>
    </row>
    <row r="426" spans="1:1" ht="14.1" customHeight="1" x14ac:dyDescent="0.2">
      <c r="A426" s="237">
        <v>80306018</v>
      </c>
    </row>
    <row r="427" spans="1:1" ht="14.1" customHeight="1" x14ac:dyDescent="0.2">
      <c r="A427" s="237">
        <v>80306019</v>
      </c>
    </row>
    <row r="428" spans="1:1" ht="14.1" customHeight="1" x14ac:dyDescent="0.2">
      <c r="A428" s="237">
        <v>80306020</v>
      </c>
    </row>
    <row r="429" spans="1:1" ht="14.1" customHeight="1" x14ac:dyDescent="0.2">
      <c r="A429" s="237">
        <v>80306021</v>
      </c>
    </row>
    <row r="430" spans="1:1" ht="14.1" customHeight="1" x14ac:dyDescent="0.2">
      <c r="A430" s="237">
        <v>80306022</v>
      </c>
    </row>
    <row r="431" spans="1:1" ht="14.1" customHeight="1" x14ac:dyDescent="0.2">
      <c r="A431" s="237">
        <v>80306023</v>
      </c>
    </row>
    <row r="432" spans="1:1" ht="14.1" customHeight="1" x14ac:dyDescent="0.2">
      <c r="A432" s="237">
        <v>80306024</v>
      </c>
    </row>
    <row r="433" spans="1:1" ht="14.1" customHeight="1" x14ac:dyDescent="0.2">
      <c r="A433" s="237">
        <v>80306025</v>
      </c>
    </row>
    <row r="434" spans="1:1" ht="14.1" customHeight="1" x14ac:dyDescent="0.2">
      <c r="A434" s="237">
        <v>80306027</v>
      </c>
    </row>
    <row r="435" spans="1:1" ht="14.1" customHeight="1" x14ac:dyDescent="0.2">
      <c r="A435" s="237">
        <v>80306028</v>
      </c>
    </row>
    <row r="436" spans="1:1" ht="14.1" customHeight="1" x14ac:dyDescent="0.2">
      <c r="A436" s="237">
        <v>80306029</v>
      </c>
    </row>
    <row r="437" spans="1:1" ht="14.1" customHeight="1" x14ac:dyDescent="0.2">
      <c r="A437" s="237">
        <v>80306030</v>
      </c>
    </row>
    <row r="438" spans="1:1" ht="14.1" customHeight="1" x14ac:dyDescent="0.2">
      <c r="A438" s="237">
        <v>80306031</v>
      </c>
    </row>
    <row r="439" spans="1:1" ht="14.1" customHeight="1" x14ac:dyDescent="0.2">
      <c r="A439" s="237">
        <v>80306032</v>
      </c>
    </row>
    <row r="440" spans="1:1" ht="14.1" customHeight="1" x14ac:dyDescent="0.2">
      <c r="A440" s="237">
        <v>80306033</v>
      </c>
    </row>
    <row r="441" spans="1:1" ht="14.1" customHeight="1" x14ac:dyDescent="0.2">
      <c r="A441" s="237">
        <v>80306034</v>
      </c>
    </row>
    <row r="442" spans="1:1" ht="14.1" customHeight="1" x14ac:dyDescent="0.2">
      <c r="A442" s="237">
        <v>80306036</v>
      </c>
    </row>
    <row r="443" spans="1:1" ht="14.1" customHeight="1" x14ac:dyDescent="0.2">
      <c r="A443" s="237">
        <v>80306037</v>
      </c>
    </row>
    <row r="444" spans="1:1" ht="14.1" customHeight="1" x14ac:dyDescent="0.2">
      <c r="A444" s="237">
        <v>80306039</v>
      </c>
    </row>
    <row r="445" spans="1:1" ht="14.1" customHeight="1" x14ac:dyDescent="0.2">
      <c r="A445" s="237">
        <v>80306041</v>
      </c>
    </row>
    <row r="446" spans="1:1" ht="14.1" customHeight="1" x14ac:dyDescent="0.2">
      <c r="A446" s="237">
        <v>80306043</v>
      </c>
    </row>
    <row r="447" spans="1:1" ht="14.1" customHeight="1" x14ac:dyDescent="0.2">
      <c r="A447" s="245">
        <v>80306045</v>
      </c>
    </row>
    <row r="448" spans="1:1" ht="14.1" customHeight="1" x14ac:dyDescent="0.2">
      <c r="A448" s="245">
        <v>80306046</v>
      </c>
    </row>
    <row r="449" spans="1:1" ht="14.1" customHeight="1" x14ac:dyDescent="0.2">
      <c r="A449" s="245">
        <v>80306047</v>
      </c>
    </row>
    <row r="450" spans="1:1" ht="14.1" customHeight="1" x14ac:dyDescent="0.2">
      <c r="A450" s="245">
        <v>80306050</v>
      </c>
    </row>
    <row r="451" spans="1:1" ht="14.1" customHeight="1" x14ac:dyDescent="0.2">
      <c r="A451" s="237">
        <v>80306053</v>
      </c>
    </row>
    <row r="452" spans="1:1" ht="14.1" customHeight="1" x14ac:dyDescent="0.2">
      <c r="A452" s="237">
        <v>80306054</v>
      </c>
    </row>
    <row r="453" spans="1:1" ht="14.1" customHeight="1" x14ac:dyDescent="0.2">
      <c r="A453" s="237">
        <v>80306056</v>
      </c>
    </row>
    <row r="454" spans="1:1" ht="14.1" customHeight="1" x14ac:dyDescent="0.2">
      <c r="A454" s="237">
        <v>80306057</v>
      </c>
    </row>
    <row r="455" spans="1:1" ht="14.1" customHeight="1" x14ac:dyDescent="0.2">
      <c r="A455" s="237">
        <v>80306058</v>
      </c>
    </row>
    <row r="456" spans="1:1" ht="14.1" customHeight="1" x14ac:dyDescent="0.2">
      <c r="A456" s="237">
        <v>80306061</v>
      </c>
    </row>
    <row r="457" spans="1:1" ht="14.1" customHeight="1" x14ac:dyDescent="0.2">
      <c r="A457" s="237">
        <v>80306062</v>
      </c>
    </row>
    <row r="458" spans="1:1" ht="14.1" customHeight="1" x14ac:dyDescent="0.2">
      <c r="A458" s="237">
        <v>80306063</v>
      </c>
    </row>
    <row r="459" spans="1:1" ht="14.1" customHeight="1" x14ac:dyDescent="0.2">
      <c r="A459" s="237">
        <v>80306064</v>
      </c>
    </row>
    <row r="460" spans="1:1" ht="14.1" customHeight="1" x14ac:dyDescent="0.2">
      <c r="A460" s="237">
        <v>80306065</v>
      </c>
    </row>
    <row r="461" spans="1:1" ht="14.1" customHeight="1" x14ac:dyDescent="0.2">
      <c r="A461" s="237">
        <v>80306066</v>
      </c>
    </row>
    <row r="462" spans="1:1" ht="14.1" customHeight="1" x14ac:dyDescent="0.2">
      <c r="A462" s="237">
        <v>80306067</v>
      </c>
    </row>
    <row r="463" spans="1:1" ht="14.1" customHeight="1" x14ac:dyDescent="0.2">
      <c r="A463" s="237">
        <v>80306068</v>
      </c>
    </row>
    <row r="464" spans="1:1" ht="14.1" customHeight="1" x14ac:dyDescent="0.2">
      <c r="A464" s="237">
        <v>80306069</v>
      </c>
    </row>
    <row r="465" spans="1:1" ht="14.1" customHeight="1" x14ac:dyDescent="0.2">
      <c r="A465" s="237">
        <v>80306070</v>
      </c>
    </row>
    <row r="466" spans="1:1" ht="14.1" customHeight="1" x14ac:dyDescent="0.2">
      <c r="A466" s="237">
        <v>80306170</v>
      </c>
    </row>
    <row r="467" spans="1:1" ht="14.1" customHeight="1" x14ac:dyDescent="0.2">
      <c r="A467" s="237">
        <v>80306270</v>
      </c>
    </row>
    <row r="468" spans="1:1" ht="14.1" customHeight="1" x14ac:dyDescent="0.2">
      <c r="A468" s="237">
        <v>80306072</v>
      </c>
    </row>
    <row r="469" spans="1:1" ht="14.1" customHeight="1" x14ac:dyDescent="0.2">
      <c r="A469" s="237">
        <v>80306073</v>
      </c>
    </row>
    <row r="470" spans="1:1" ht="14.1" customHeight="1" x14ac:dyDescent="0.2">
      <c r="A470" s="237">
        <v>80306074</v>
      </c>
    </row>
    <row r="471" spans="1:1" ht="14.1" customHeight="1" x14ac:dyDescent="0.2">
      <c r="A471" s="237">
        <v>80306075</v>
      </c>
    </row>
    <row r="472" spans="1:1" ht="14.1" customHeight="1" x14ac:dyDescent="0.2">
      <c r="A472" s="237">
        <v>80306076</v>
      </c>
    </row>
    <row r="473" spans="1:1" ht="14.1" customHeight="1" x14ac:dyDescent="0.2">
      <c r="A473" s="237">
        <v>80306077</v>
      </c>
    </row>
    <row r="474" spans="1:1" ht="14.1" customHeight="1" x14ac:dyDescent="0.2">
      <c r="A474" s="237">
        <v>80306078</v>
      </c>
    </row>
    <row r="475" spans="1:1" ht="14.1" customHeight="1" x14ac:dyDescent="0.2">
      <c r="A475" s="237">
        <v>80306079</v>
      </c>
    </row>
    <row r="476" spans="1:1" ht="14.1" customHeight="1" x14ac:dyDescent="0.2">
      <c r="A476" s="237">
        <v>80306080</v>
      </c>
    </row>
    <row r="477" spans="1:1" ht="14.1" customHeight="1" x14ac:dyDescent="0.2">
      <c r="A477" s="237">
        <v>80308001</v>
      </c>
    </row>
    <row r="478" spans="1:1" ht="14.1" customHeight="1" x14ac:dyDescent="0.2">
      <c r="A478" s="237">
        <v>80308002</v>
      </c>
    </row>
    <row r="479" spans="1:1" ht="14.1" customHeight="1" x14ac:dyDescent="0.2">
      <c r="A479" s="237">
        <v>80308003</v>
      </c>
    </row>
    <row r="480" spans="1:1" ht="14.1" customHeight="1" x14ac:dyDescent="0.2">
      <c r="A480" s="237">
        <v>80308006</v>
      </c>
    </row>
    <row r="481" spans="1:1" ht="14.1" customHeight="1" x14ac:dyDescent="0.2">
      <c r="A481" s="237">
        <v>80308007</v>
      </c>
    </row>
    <row r="482" spans="1:1" ht="14.1" customHeight="1" x14ac:dyDescent="0.2">
      <c r="A482" s="237">
        <v>80308008</v>
      </c>
    </row>
    <row r="483" spans="1:1" ht="14.1" customHeight="1" x14ac:dyDescent="0.2">
      <c r="A483" s="237">
        <v>80308009</v>
      </c>
    </row>
    <row r="484" spans="1:1" ht="14.1" customHeight="1" x14ac:dyDescent="0.2">
      <c r="A484" s="237">
        <v>80308010</v>
      </c>
    </row>
    <row r="485" spans="1:1" ht="14.1" customHeight="1" x14ac:dyDescent="0.2">
      <c r="A485" s="237">
        <v>80308011</v>
      </c>
    </row>
    <row r="486" spans="1:1" ht="14.1" customHeight="1" x14ac:dyDescent="0.2">
      <c r="A486" s="237">
        <v>80308012</v>
      </c>
    </row>
    <row r="487" spans="1:1" ht="14.1" customHeight="1" x14ac:dyDescent="0.2">
      <c r="A487" s="237">
        <v>80308013</v>
      </c>
    </row>
    <row r="488" spans="1:1" ht="14.1" customHeight="1" x14ac:dyDescent="0.2">
      <c r="A488" s="237">
        <v>80308014</v>
      </c>
    </row>
    <row r="489" spans="1:1" ht="14.1" customHeight="1" x14ac:dyDescent="0.2">
      <c r="A489" s="237">
        <v>80308015</v>
      </c>
    </row>
    <row r="490" spans="1:1" ht="14.1" customHeight="1" x14ac:dyDescent="0.2">
      <c r="A490" s="237">
        <v>80308016</v>
      </c>
    </row>
    <row r="491" spans="1:1" ht="14.1" customHeight="1" x14ac:dyDescent="0.2">
      <c r="A491" s="237">
        <v>80308017</v>
      </c>
    </row>
    <row r="492" spans="1:1" ht="14.1" customHeight="1" x14ac:dyDescent="0.2">
      <c r="A492" s="237">
        <v>80308018</v>
      </c>
    </row>
    <row r="493" spans="1:1" ht="14.1" customHeight="1" x14ac:dyDescent="0.2">
      <c r="A493" s="237">
        <v>80308019</v>
      </c>
    </row>
    <row r="494" spans="1:1" ht="14.1" customHeight="1" x14ac:dyDescent="0.2">
      <c r="A494" s="237">
        <v>80308020</v>
      </c>
    </row>
    <row r="495" spans="1:1" ht="14.1" customHeight="1" x14ac:dyDescent="0.2">
      <c r="A495" s="237">
        <v>80308021</v>
      </c>
    </row>
    <row r="496" spans="1:1" ht="14.1" customHeight="1" x14ac:dyDescent="0.2">
      <c r="A496" s="237">
        <v>80308022</v>
      </c>
    </row>
    <row r="497" spans="1:1" ht="14.1" customHeight="1" x14ac:dyDescent="0.2">
      <c r="A497" s="237">
        <v>80308023</v>
      </c>
    </row>
    <row r="498" spans="1:1" ht="14.1" customHeight="1" x14ac:dyDescent="0.2">
      <c r="A498" s="237">
        <v>80308024</v>
      </c>
    </row>
    <row r="499" spans="1:1" ht="14.1" customHeight="1" x14ac:dyDescent="0.2">
      <c r="A499" s="237">
        <v>80308025</v>
      </c>
    </row>
    <row r="500" spans="1:1" ht="14.1" customHeight="1" x14ac:dyDescent="0.2">
      <c r="A500" s="237">
        <v>80308026</v>
      </c>
    </row>
    <row r="501" spans="1:1" ht="14.1" customHeight="1" x14ac:dyDescent="0.2">
      <c r="A501" s="237">
        <v>80308027</v>
      </c>
    </row>
    <row r="502" spans="1:1" ht="14.1" customHeight="1" x14ac:dyDescent="0.2">
      <c r="A502" s="237">
        <v>80308028</v>
      </c>
    </row>
    <row r="503" spans="1:1" ht="14.1" customHeight="1" x14ac:dyDescent="0.2">
      <c r="A503" s="237">
        <v>80308029</v>
      </c>
    </row>
    <row r="504" spans="1:1" ht="14.1" customHeight="1" x14ac:dyDescent="0.2">
      <c r="A504" s="237">
        <v>80308030</v>
      </c>
    </row>
    <row r="505" spans="1:1" ht="14.1" customHeight="1" x14ac:dyDescent="0.2">
      <c r="A505" s="237">
        <v>80308031</v>
      </c>
    </row>
    <row r="506" spans="1:1" ht="14.1" customHeight="1" x14ac:dyDescent="0.2">
      <c r="A506" s="237">
        <v>80308032</v>
      </c>
    </row>
    <row r="507" spans="1:1" ht="14.1" customHeight="1" x14ac:dyDescent="0.2">
      <c r="A507" s="237">
        <v>80308033</v>
      </c>
    </row>
    <row r="508" spans="1:1" ht="14.1" customHeight="1" x14ac:dyDescent="0.2">
      <c r="A508" s="237">
        <v>80308034</v>
      </c>
    </row>
    <row r="509" spans="1:1" ht="14.1" customHeight="1" x14ac:dyDescent="0.2">
      <c r="A509" s="237">
        <v>80308035</v>
      </c>
    </row>
    <row r="510" spans="1:1" ht="14.1" customHeight="1" x14ac:dyDescent="0.2">
      <c r="A510" s="237">
        <v>80308036</v>
      </c>
    </row>
    <row r="511" spans="1:1" ht="14.1" customHeight="1" x14ac:dyDescent="0.2">
      <c r="A511" s="237">
        <v>80308037</v>
      </c>
    </row>
    <row r="512" spans="1:1" ht="14.1" customHeight="1" x14ac:dyDescent="0.2">
      <c r="A512" s="237">
        <v>80308038</v>
      </c>
    </row>
    <row r="513" spans="1:1" ht="14.1" customHeight="1" x14ac:dyDescent="0.2">
      <c r="A513" s="237">
        <v>80308039</v>
      </c>
    </row>
    <row r="514" spans="1:1" ht="14.1" customHeight="1" x14ac:dyDescent="0.2">
      <c r="A514" s="237">
        <v>80308040</v>
      </c>
    </row>
    <row r="515" spans="1:1" ht="14.1" customHeight="1" x14ac:dyDescent="0.2">
      <c r="A515" s="237">
        <v>80308041</v>
      </c>
    </row>
    <row r="516" spans="1:1" ht="14.1" customHeight="1" x14ac:dyDescent="0.2">
      <c r="A516" s="237">
        <v>80308042</v>
      </c>
    </row>
    <row r="517" spans="1:1" ht="14.1" customHeight="1" x14ac:dyDescent="0.2">
      <c r="A517" s="237">
        <v>80308043</v>
      </c>
    </row>
    <row r="518" spans="1:1" ht="14.1" customHeight="1" x14ac:dyDescent="0.2">
      <c r="A518" s="237">
        <v>80308044</v>
      </c>
    </row>
    <row r="519" spans="1:1" ht="14.1" customHeight="1" x14ac:dyDescent="0.2">
      <c r="A519" s="237">
        <v>80309001</v>
      </c>
    </row>
    <row r="520" spans="1:1" ht="14.1" customHeight="1" x14ac:dyDescent="0.2">
      <c r="A520" s="237">
        <v>80309002</v>
      </c>
    </row>
    <row r="521" spans="1:1" ht="14.1" customHeight="1" x14ac:dyDescent="0.2">
      <c r="A521" s="237">
        <v>80309003</v>
      </c>
    </row>
    <row r="522" spans="1:1" ht="14.1" customHeight="1" x14ac:dyDescent="0.2">
      <c r="A522" s="237">
        <v>80309004</v>
      </c>
    </row>
    <row r="523" spans="1:1" ht="14.1" customHeight="1" x14ac:dyDescent="0.2">
      <c r="A523" s="237">
        <v>80309005</v>
      </c>
    </row>
    <row r="524" spans="1:1" ht="14.1" customHeight="1" x14ac:dyDescent="0.2">
      <c r="A524" s="237">
        <v>80309006</v>
      </c>
    </row>
    <row r="525" spans="1:1" ht="14.1" customHeight="1" x14ac:dyDescent="0.2">
      <c r="A525" s="237">
        <v>80309007</v>
      </c>
    </row>
    <row r="526" spans="1:1" ht="14.1" customHeight="1" x14ac:dyDescent="0.2">
      <c r="A526" s="237">
        <v>80309008</v>
      </c>
    </row>
    <row r="527" spans="1:1" ht="14.1" customHeight="1" x14ac:dyDescent="0.2">
      <c r="A527" s="237">
        <v>80309009</v>
      </c>
    </row>
    <row r="528" spans="1:1" ht="14.1" customHeight="1" x14ac:dyDescent="0.2">
      <c r="A528" s="237">
        <v>80309011</v>
      </c>
    </row>
    <row r="529" spans="1:1" ht="14.1" customHeight="1" x14ac:dyDescent="0.2">
      <c r="A529" s="237">
        <v>80309012</v>
      </c>
    </row>
    <row r="530" spans="1:1" ht="14.1" customHeight="1" x14ac:dyDescent="0.2">
      <c r="A530" s="237">
        <v>80309040</v>
      </c>
    </row>
    <row r="531" spans="1:1" ht="14.1" customHeight="1" x14ac:dyDescent="0.2">
      <c r="A531" s="237">
        <v>80309015</v>
      </c>
    </row>
    <row r="532" spans="1:1" ht="14.1" customHeight="1" x14ac:dyDescent="0.2">
      <c r="A532" s="237">
        <v>80309016</v>
      </c>
    </row>
    <row r="533" spans="1:1" ht="14.1" customHeight="1" x14ac:dyDescent="0.2">
      <c r="A533" s="237">
        <v>80309035</v>
      </c>
    </row>
    <row r="534" spans="1:1" ht="14.1" customHeight="1" x14ac:dyDescent="0.2">
      <c r="A534" s="237">
        <v>80309017</v>
      </c>
    </row>
    <row r="535" spans="1:1" ht="14.1" customHeight="1" x14ac:dyDescent="0.2">
      <c r="A535" s="237">
        <v>80309018</v>
      </c>
    </row>
    <row r="536" spans="1:1" ht="14.1" customHeight="1" x14ac:dyDescent="0.2">
      <c r="A536" s="237">
        <v>80309019</v>
      </c>
    </row>
    <row r="537" spans="1:1" ht="14.1" customHeight="1" x14ac:dyDescent="0.2">
      <c r="A537" s="237">
        <v>80309021</v>
      </c>
    </row>
    <row r="538" spans="1:1" ht="14.1" customHeight="1" x14ac:dyDescent="0.2">
      <c r="A538" s="237">
        <v>80309025</v>
      </c>
    </row>
    <row r="539" spans="1:1" ht="14.1" customHeight="1" x14ac:dyDescent="0.2">
      <c r="A539" s="237">
        <v>80309027</v>
      </c>
    </row>
    <row r="540" spans="1:1" ht="14.1" customHeight="1" x14ac:dyDescent="0.2">
      <c r="A540" s="237">
        <v>80309028</v>
      </c>
    </row>
    <row r="541" spans="1:1" ht="14.1" customHeight="1" x14ac:dyDescent="0.2">
      <c r="A541" s="237">
        <v>80309029</v>
      </c>
    </row>
    <row r="542" spans="1:1" ht="14.1" customHeight="1" x14ac:dyDescent="0.2">
      <c r="A542" s="237">
        <v>80401001</v>
      </c>
    </row>
    <row r="543" spans="1:1" ht="14.1" customHeight="1" x14ac:dyDescent="0.2">
      <c r="A543" s="237">
        <v>80401002</v>
      </c>
    </row>
    <row r="544" spans="1:1" ht="14.1" customHeight="1" x14ac:dyDescent="0.2">
      <c r="A544" s="237">
        <v>80401003</v>
      </c>
    </row>
    <row r="545" spans="1:1" ht="14.1" customHeight="1" x14ac:dyDescent="0.2">
      <c r="A545" s="237">
        <v>80401005</v>
      </c>
    </row>
    <row r="546" spans="1:1" ht="14.1" customHeight="1" x14ac:dyDescent="0.2">
      <c r="A546" s="237">
        <v>80401006</v>
      </c>
    </row>
    <row r="547" spans="1:1" ht="14.1" customHeight="1" x14ac:dyDescent="0.2">
      <c r="A547" s="237">
        <v>80401007</v>
      </c>
    </row>
    <row r="548" spans="1:1" ht="14.1" customHeight="1" x14ac:dyDescent="0.2">
      <c r="A548" s="237">
        <v>80401011</v>
      </c>
    </row>
    <row r="549" spans="1:1" ht="14.1" customHeight="1" x14ac:dyDescent="0.2">
      <c r="A549" s="237">
        <v>80401012</v>
      </c>
    </row>
    <row r="550" spans="1:1" ht="14.1" customHeight="1" x14ac:dyDescent="0.2">
      <c r="A550" s="237">
        <v>80401013</v>
      </c>
    </row>
    <row r="551" spans="1:1" ht="14.1" customHeight="1" x14ac:dyDescent="0.2">
      <c r="A551" s="237">
        <v>80401014</v>
      </c>
    </row>
    <row r="552" spans="1:1" ht="14.1" customHeight="1" x14ac:dyDescent="0.2">
      <c r="A552" s="237">
        <v>80401015</v>
      </c>
    </row>
    <row r="553" spans="1:1" ht="14.1" customHeight="1" x14ac:dyDescent="0.2">
      <c r="A553" s="237">
        <v>80401016</v>
      </c>
    </row>
    <row r="554" spans="1:1" ht="14.1" customHeight="1" x14ac:dyDescent="0.2">
      <c r="A554" s="237">
        <v>80401017</v>
      </c>
    </row>
    <row r="555" spans="1:1" ht="14.1" customHeight="1" x14ac:dyDescent="0.2">
      <c r="A555" s="237">
        <v>80401018</v>
      </c>
    </row>
    <row r="556" spans="1:1" ht="14.1" customHeight="1" x14ac:dyDescent="0.2">
      <c r="A556" s="237">
        <v>80401019</v>
      </c>
    </row>
    <row r="557" spans="1:1" ht="14.1" customHeight="1" x14ac:dyDescent="0.2">
      <c r="A557" s="237">
        <v>80401020</v>
      </c>
    </row>
    <row r="558" spans="1:1" ht="14.1" customHeight="1" x14ac:dyDescent="0.2">
      <c r="A558" s="237">
        <v>80401021</v>
      </c>
    </row>
    <row r="559" spans="1:1" ht="14.1" customHeight="1" x14ac:dyDescent="0.2">
      <c r="A559" s="237">
        <v>80401022</v>
      </c>
    </row>
    <row r="560" spans="1:1" ht="14.1" customHeight="1" x14ac:dyDescent="0.2">
      <c r="A560" s="237">
        <v>80401023</v>
      </c>
    </row>
    <row r="561" spans="1:1" ht="14.1" customHeight="1" x14ac:dyDescent="0.2">
      <c r="A561" s="237">
        <v>80401024</v>
      </c>
    </row>
    <row r="562" spans="1:1" ht="14.1" customHeight="1" x14ac:dyDescent="0.2">
      <c r="A562" s="237">
        <v>80401026</v>
      </c>
    </row>
    <row r="563" spans="1:1" ht="14.1" customHeight="1" x14ac:dyDescent="0.2">
      <c r="A563" s="237">
        <v>80401027</v>
      </c>
    </row>
    <row r="564" spans="1:1" ht="14.1" customHeight="1" x14ac:dyDescent="0.2">
      <c r="A564" s="237">
        <v>80401028</v>
      </c>
    </row>
    <row r="565" spans="1:1" ht="14.1" customHeight="1" x14ac:dyDescent="0.2">
      <c r="A565" s="237">
        <v>80401029</v>
      </c>
    </row>
    <row r="566" spans="1:1" ht="14.1" customHeight="1" x14ac:dyDescent="0.2">
      <c r="A566" s="237">
        <v>80401030</v>
      </c>
    </row>
    <row r="567" spans="1:1" ht="14.1" customHeight="1" x14ac:dyDescent="0.2">
      <c r="A567" s="237">
        <v>80401031</v>
      </c>
    </row>
    <row r="568" spans="1:1" ht="14.1" customHeight="1" x14ac:dyDescent="0.2">
      <c r="A568" s="237">
        <v>80401032</v>
      </c>
    </row>
    <row r="569" spans="1:1" ht="14.1" customHeight="1" x14ac:dyDescent="0.2">
      <c r="A569" s="237">
        <v>80401033</v>
      </c>
    </row>
    <row r="570" spans="1:1" ht="14.1" customHeight="1" x14ac:dyDescent="0.2">
      <c r="A570" s="237">
        <v>80401034</v>
      </c>
    </row>
    <row r="571" spans="1:1" ht="14.1" customHeight="1" x14ac:dyDescent="0.2">
      <c r="A571" s="237">
        <v>80401035</v>
      </c>
    </row>
    <row r="572" spans="1:1" ht="14.1" customHeight="1" x14ac:dyDescent="0.2">
      <c r="A572" s="237">
        <v>80401036</v>
      </c>
    </row>
    <row r="573" spans="1:1" ht="14.1" customHeight="1" x14ac:dyDescent="0.2">
      <c r="A573" s="237">
        <v>80401037</v>
      </c>
    </row>
    <row r="574" spans="1:1" ht="14.1" customHeight="1" x14ac:dyDescent="0.2">
      <c r="A574" s="237">
        <v>80401038</v>
      </c>
    </row>
    <row r="575" spans="1:1" ht="14.1" customHeight="1" x14ac:dyDescent="0.2">
      <c r="A575" s="237">
        <v>80401039</v>
      </c>
    </row>
    <row r="576" spans="1:1" ht="14.1" customHeight="1" x14ac:dyDescent="0.2">
      <c r="A576" s="237">
        <v>80401040</v>
      </c>
    </row>
    <row r="577" spans="1:1" ht="14.1" customHeight="1" x14ac:dyDescent="0.2">
      <c r="A577" s="237">
        <v>80401041</v>
      </c>
    </row>
    <row r="578" spans="1:1" ht="14.1" customHeight="1" x14ac:dyDescent="0.2">
      <c r="A578" s="237">
        <v>80401056</v>
      </c>
    </row>
    <row r="579" spans="1:1" ht="14.1" customHeight="1" x14ac:dyDescent="0.2">
      <c r="A579" s="237">
        <v>80401057</v>
      </c>
    </row>
    <row r="580" spans="1:1" ht="14.1" customHeight="1" x14ac:dyDescent="0.2">
      <c r="A580" s="237">
        <v>80401058</v>
      </c>
    </row>
    <row r="581" spans="1:1" ht="14.1" customHeight="1" x14ac:dyDescent="0.2">
      <c r="A581" s="237">
        <v>80401059</v>
      </c>
    </row>
    <row r="582" spans="1:1" ht="14.1" customHeight="1" x14ac:dyDescent="0.2">
      <c r="A582" s="237">
        <v>80401061</v>
      </c>
    </row>
    <row r="583" spans="1:1" ht="14.1" customHeight="1" x14ac:dyDescent="0.2">
      <c r="A583" s="237">
        <v>80401062</v>
      </c>
    </row>
    <row r="584" spans="1:1" ht="14.1" customHeight="1" x14ac:dyDescent="0.2">
      <c r="A584" s="237">
        <v>80401063</v>
      </c>
    </row>
    <row r="585" spans="1:1" ht="14.1" customHeight="1" x14ac:dyDescent="0.2">
      <c r="A585" s="237">
        <v>80401064</v>
      </c>
    </row>
    <row r="586" spans="1:1" ht="14.1" customHeight="1" x14ac:dyDescent="0.2">
      <c r="A586" s="237">
        <v>80404003</v>
      </c>
    </row>
    <row r="587" spans="1:1" ht="14.1" customHeight="1" x14ac:dyDescent="0.2">
      <c r="A587" s="237">
        <v>80404004</v>
      </c>
    </row>
    <row r="588" spans="1:1" ht="14.1" customHeight="1" x14ac:dyDescent="0.2">
      <c r="A588" s="237">
        <v>80404009</v>
      </c>
    </row>
    <row r="589" spans="1:1" ht="14.1" customHeight="1" x14ac:dyDescent="0.2">
      <c r="A589" s="237">
        <v>80404010</v>
      </c>
    </row>
    <row r="590" spans="1:1" ht="14.1" customHeight="1" x14ac:dyDescent="0.2">
      <c r="A590" s="237">
        <v>80404011</v>
      </c>
    </row>
    <row r="591" spans="1:1" ht="14.1" customHeight="1" x14ac:dyDescent="0.2">
      <c r="A591" s="237">
        <v>80404012</v>
      </c>
    </row>
    <row r="592" spans="1:1" ht="14.1" customHeight="1" x14ac:dyDescent="0.2">
      <c r="A592" s="237">
        <v>80404013</v>
      </c>
    </row>
    <row r="593" spans="1:1" ht="14.1" customHeight="1" x14ac:dyDescent="0.2">
      <c r="A593" s="237">
        <v>80404014</v>
      </c>
    </row>
    <row r="594" spans="1:1" ht="14.1" customHeight="1" x14ac:dyDescent="0.2">
      <c r="A594" s="237">
        <v>80404015</v>
      </c>
    </row>
    <row r="595" spans="1:1" ht="14.1" customHeight="1" x14ac:dyDescent="0.2">
      <c r="A595" s="237">
        <v>80404016</v>
      </c>
    </row>
    <row r="596" spans="1:1" ht="14.1" customHeight="1" x14ac:dyDescent="0.2">
      <c r="A596" s="237">
        <v>80404018</v>
      </c>
    </row>
    <row r="597" spans="1:1" ht="14.1" customHeight="1" x14ac:dyDescent="0.2">
      <c r="A597" s="237">
        <v>80404019</v>
      </c>
    </row>
    <row r="598" spans="1:1" ht="14.1" customHeight="1" x14ac:dyDescent="0.2">
      <c r="A598" s="246">
        <v>81101003</v>
      </c>
    </row>
    <row r="599" spans="1:1" ht="14.1" customHeight="1" x14ac:dyDescent="0.2">
      <c r="A599" s="246">
        <v>81201003</v>
      </c>
    </row>
    <row r="600" spans="1:1" ht="14.1" customHeight="1" x14ac:dyDescent="0.2">
      <c r="A600" s="246">
        <v>81201004</v>
      </c>
    </row>
    <row r="601" spans="1:1" ht="14.1" customHeight="1" x14ac:dyDescent="0.2">
      <c r="A601" s="246">
        <v>81201005</v>
      </c>
    </row>
    <row r="602" spans="1:1" ht="14.1" customHeight="1" x14ac:dyDescent="0.2">
      <c r="A602" s="246">
        <v>81201009</v>
      </c>
    </row>
    <row r="603" spans="1:1" ht="14.1" customHeight="1" x14ac:dyDescent="0.2">
      <c r="A603" s="246">
        <v>81201012</v>
      </c>
    </row>
    <row r="604" spans="1:1" ht="14.1" customHeight="1" x14ac:dyDescent="0.2">
      <c r="A604" s="246">
        <v>81201014</v>
      </c>
    </row>
    <row r="605" spans="1:1" ht="14.1" customHeight="1" x14ac:dyDescent="0.2">
      <c r="A605" s="246">
        <v>81201015</v>
      </c>
    </row>
    <row r="606" spans="1:1" ht="14.1" customHeight="1" x14ac:dyDescent="0.2">
      <c r="A606" s="246">
        <v>81201019</v>
      </c>
    </row>
    <row r="607" spans="1:1" ht="14.1" customHeight="1" x14ac:dyDescent="0.2">
      <c r="A607" s="246">
        <v>81201029</v>
      </c>
    </row>
    <row r="608" spans="1:1" ht="14.1" customHeight="1" x14ac:dyDescent="0.2">
      <c r="A608" s="246">
        <v>81201042</v>
      </c>
    </row>
    <row r="609" spans="1:1" ht="14.1" customHeight="1" x14ac:dyDescent="0.2">
      <c r="A609" s="246" t="s">
        <v>423</v>
      </c>
    </row>
    <row r="610" spans="1:1" ht="14.1" customHeight="1" x14ac:dyDescent="0.2">
      <c r="A610" s="246">
        <v>81301042</v>
      </c>
    </row>
    <row r="611" spans="1:1" ht="14.1" customHeight="1" x14ac:dyDescent="0.2">
      <c r="A611" s="246">
        <v>81301043</v>
      </c>
    </row>
    <row r="612" spans="1:1" ht="14.1" customHeight="1" x14ac:dyDescent="0.2">
      <c r="A612" s="246">
        <v>81601115</v>
      </c>
    </row>
    <row r="613" spans="1:1" ht="14.1" customHeight="1" x14ac:dyDescent="0.2">
      <c r="A613" s="246">
        <v>81701006</v>
      </c>
    </row>
    <row r="614" spans="1:1" ht="14.1" customHeight="1" x14ac:dyDescent="0.2">
      <c r="A614" s="246">
        <v>81801023</v>
      </c>
    </row>
    <row r="615" spans="1:1" ht="14.1" customHeight="1" x14ac:dyDescent="0.2">
      <c r="A615" s="246">
        <v>81801001</v>
      </c>
    </row>
    <row r="616" spans="1:1" ht="14.1" customHeight="1" x14ac:dyDescent="0.2">
      <c r="A616" s="246">
        <v>81901019</v>
      </c>
    </row>
    <row r="617" spans="1:1" ht="14.1" customHeight="1" x14ac:dyDescent="0.2">
      <c r="A617" s="246">
        <v>82101002</v>
      </c>
    </row>
    <row r="618" spans="1:1" ht="14.1" customHeight="1" x14ac:dyDescent="0.2">
      <c r="A618" s="246">
        <v>81602201</v>
      </c>
    </row>
    <row r="619" spans="1:1" ht="14.1" customHeight="1" x14ac:dyDescent="0.2">
      <c r="A619" s="246">
        <v>81602202</v>
      </c>
    </row>
    <row r="620" spans="1:1" ht="14.1" customHeight="1" x14ac:dyDescent="0.2">
      <c r="A620" s="246">
        <v>81602204</v>
      </c>
    </row>
    <row r="621" spans="1:1" ht="14.1" customHeight="1" x14ac:dyDescent="0.2">
      <c r="A621" s="246">
        <v>81602205</v>
      </c>
    </row>
    <row r="622" spans="1:1" ht="14.1" customHeight="1" x14ac:dyDescent="0.2">
      <c r="A622" s="246">
        <v>81602207</v>
      </c>
    </row>
    <row r="623" spans="1:1" ht="14.1" customHeight="1" x14ac:dyDescent="0.2">
      <c r="A623" s="246">
        <v>81602211</v>
      </c>
    </row>
    <row r="624" spans="1:1" ht="14.1" customHeight="1" x14ac:dyDescent="0.2">
      <c r="A624" s="246">
        <v>81602212</v>
      </c>
    </row>
    <row r="625" spans="1:1" ht="14.1" customHeight="1" x14ac:dyDescent="0.2">
      <c r="A625" s="246">
        <v>81602213</v>
      </c>
    </row>
    <row r="626" spans="1:1" ht="14.1" customHeight="1" x14ac:dyDescent="0.2">
      <c r="A626" s="246">
        <v>81602214</v>
      </c>
    </row>
    <row r="627" spans="1:1" ht="14.1" customHeight="1" x14ac:dyDescent="0.2">
      <c r="A627" s="246">
        <v>81602215</v>
      </c>
    </row>
    <row r="628" spans="1:1" ht="14.1" customHeight="1" x14ac:dyDescent="0.2">
      <c r="A628" s="246">
        <v>81602216</v>
      </c>
    </row>
    <row r="629" spans="1:1" ht="14.1" customHeight="1" x14ac:dyDescent="0.2">
      <c r="A629" s="246">
        <v>81602217</v>
      </c>
    </row>
    <row r="630" spans="1:1" ht="14.1" customHeight="1" x14ac:dyDescent="0.2">
      <c r="A630" s="246">
        <v>81602232</v>
      </c>
    </row>
    <row r="631" spans="1:1" ht="14.1" customHeight="1" x14ac:dyDescent="0.2">
      <c r="A631" s="246">
        <v>81602240</v>
      </c>
    </row>
    <row r="632" spans="1:1" ht="14.1" customHeight="1" x14ac:dyDescent="0.2">
      <c r="A632" s="246">
        <v>81602241</v>
      </c>
    </row>
    <row r="633" spans="1:1" ht="14.1" customHeight="1" x14ac:dyDescent="0.2">
      <c r="A633" s="246">
        <v>81602242</v>
      </c>
    </row>
    <row r="634" spans="1:1" ht="14.1" customHeight="1" x14ac:dyDescent="0.2">
      <c r="A634" s="246">
        <v>80106005</v>
      </c>
    </row>
    <row r="635" spans="1:1" ht="14.1" customHeight="1" x14ac:dyDescent="0.2">
      <c r="A635" s="246">
        <v>80106024</v>
      </c>
    </row>
    <row r="636" spans="1:1" ht="14.1" customHeight="1" x14ac:dyDescent="0.2">
      <c r="A636" s="246">
        <v>80106017</v>
      </c>
    </row>
    <row r="637" spans="1:1" ht="14.1" customHeight="1" x14ac:dyDescent="0.2">
      <c r="A637" s="246">
        <v>80106022</v>
      </c>
    </row>
    <row r="638" spans="1:1" ht="14.1" customHeight="1" x14ac:dyDescent="0.2">
      <c r="A638" s="291">
        <v>80500001</v>
      </c>
    </row>
    <row r="639" spans="1:1" ht="14.1" customHeight="1" x14ac:dyDescent="0.2">
      <c r="A639" s="291">
        <v>80500002</v>
      </c>
    </row>
    <row r="640" spans="1:1" ht="14.1" customHeight="1" x14ac:dyDescent="0.2">
      <c r="A640" s="291">
        <v>80500003</v>
      </c>
    </row>
    <row r="641" spans="1:1" ht="14.1" customHeight="1" x14ac:dyDescent="0.2">
      <c r="A641" s="291">
        <v>80500004</v>
      </c>
    </row>
    <row r="642" spans="1:1" ht="14.1" customHeight="1" x14ac:dyDescent="0.2">
      <c r="A642" s="291">
        <v>80500005</v>
      </c>
    </row>
    <row r="643" spans="1:1" ht="14.1" customHeight="1" x14ac:dyDescent="0.2">
      <c r="A643" s="291">
        <v>80500006</v>
      </c>
    </row>
    <row r="644" spans="1:1" ht="14.1" customHeight="1" x14ac:dyDescent="0.2">
      <c r="A644" s="291">
        <v>80500007</v>
      </c>
    </row>
    <row r="645" spans="1:1" ht="14.1" customHeight="1" x14ac:dyDescent="0.2">
      <c r="A645" s="249">
        <v>80500010</v>
      </c>
    </row>
    <row r="646" spans="1:1" ht="14.1" customHeight="1" x14ac:dyDescent="0.2">
      <c r="A646" s="249">
        <v>80500014</v>
      </c>
    </row>
  </sheetData>
  <mergeCells count="55">
    <mergeCell ref="G121:G122"/>
    <mergeCell ref="F130:G130"/>
    <mergeCell ref="B73:C73"/>
    <mergeCell ref="B78:C78"/>
    <mergeCell ref="B88:C88"/>
    <mergeCell ref="B89:C89"/>
    <mergeCell ref="B75:C75"/>
    <mergeCell ref="B80:C80"/>
    <mergeCell ref="B49:C49"/>
    <mergeCell ref="D51:G51"/>
    <mergeCell ref="B54:C54"/>
    <mergeCell ref="D56:G56"/>
    <mergeCell ref="B51:C51"/>
    <mergeCell ref="B56:C56"/>
    <mergeCell ref="B6:D6"/>
    <mergeCell ref="B20:C20"/>
    <mergeCell ref="B45:C45"/>
    <mergeCell ref="B22:C22"/>
    <mergeCell ref="D22:G22"/>
    <mergeCell ref="G10:G11"/>
    <mergeCell ref="D10:D11"/>
    <mergeCell ref="D12:G12"/>
    <mergeCell ref="B12:C12"/>
    <mergeCell ref="B43:C43"/>
    <mergeCell ref="B10:B11"/>
    <mergeCell ref="C10:C11"/>
    <mergeCell ref="E10:E11"/>
    <mergeCell ref="F10:F11"/>
    <mergeCell ref="B7:G7"/>
    <mergeCell ref="D45:G45"/>
    <mergeCell ref="B148:C148"/>
    <mergeCell ref="B160:C160"/>
    <mergeCell ref="D91:G91"/>
    <mergeCell ref="E121:E122"/>
    <mergeCell ref="D121:D122"/>
    <mergeCell ref="B121:B122"/>
    <mergeCell ref="B158:C158"/>
    <mergeCell ref="B150:C150"/>
    <mergeCell ref="C121:C122"/>
    <mergeCell ref="F121:F122"/>
    <mergeCell ref="B130:C130"/>
    <mergeCell ref="B128:C128"/>
    <mergeCell ref="B123:C123"/>
    <mergeCell ref="B142:C142"/>
    <mergeCell ref="B140:C140"/>
    <mergeCell ref="B91:C91"/>
    <mergeCell ref="B206:C206"/>
    <mergeCell ref="B164:C164"/>
    <mergeCell ref="B166:C166"/>
    <mergeCell ref="B186:C186"/>
    <mergeCell ref="B188:C188"/>
    <mergeCell ref="B179:C179"/>
    <mergeCell ref="B171:C171"/>
    <mergeCell ref="B169:C169"/>
    <mergeCell ref="B177:C177"/>
  </mergeCells>
  <conditionalFormatting sqref="A13:A20 A161:A164 A167:A169 A172:A177 A189:A206 A23:A42 A224:A225 A210:A222">
    <cfRule type="cellIs" dxfId="12" priority="23" operator="equal">
      <formula>81106502.5</formula>
    </cfRule>
  </conditionalFormatting>
  <conditionalFormatting sqref="A46:A49">
    <cfRule type="cellIs" dxfId="11" priority="21" operator="equal">
      <formula>81106502.5</formula>
    </cfRule>
  </conditionalFormatting>
  <conditionalFormatting sqref="A52:A54">
    <cfRule type="cellIs" dxfId="10" priority="20" operator="equal">
      <formula>81106502.5</formula>
    </cfRule>
  </conditionalFormatting>
  <conditionalFormatting sqref="A57:A73">
    <cfRule type="cellIs" dxfId="9" priority="19" operator="equal">
      <formula>81106502.5</formula>
    </cfRule>
  </conditionalFormatting>
  <conditionalFormatting sqref="A76:A78">
    <cfRule type="cellIs" dxfId="8" priority="18" operator="equal">
      <formula>81106502.5</formula>
    </cfRule>
  </conditionalFormatting>
  <conditionalFormatting sqref="A81:A89">
    <cfRule type="cellIs" dxfId="7" priority="17" operator="equal">
      <formula>81106502.5</formula>
    </cfRule>
  </conditionalFormatting>
  <conditionalFormatting sqref="A92:A118">
    <cfRule type="cellIs" dxfId="6" priority="16" operator="equal">
      <formula>81106502.5</formula>
    </cfRule>
  </conditionalFormatting>
  <conditionalFormatting sqref="A124:A128">
    <cfRule type="cellIs" dxfId="5" priority="15" operator="equal">
      <formula>81106502.5</formula>
    </cfRule>
  </conditionalFormatting>
  <conditionalFormatting sqref="A131:A140">
    <cfRule type="cellIs" dxfId="4" priority="14" operator="equal">
      <formula>81106502.5</formula>
    </cfRule>
  </conditionalFormatting>
  <conditionalFormatting sqref="A143:A148">
    <cfRule type="cellIs" dxfId="3" priority="13" operator="equal">
      <formula>81106502.5</formula>
    </cfRule>
  </conditionalFormatting>
  <conditionalFormatting sqref="A151:A158">
    <cfRule type="cellIs" dxfId="2" priority="12" operator="equal">
      <formula>81106502.5</formula>
    </cfRule>
  </conditionalFormatting>
  <conditionalFormatting sqref="A180:A186">
    <cfRule type="cellIs" dxfId="1" priority="8" operator="equal">
      <formula>81106502.5</formula>
    </cfRule>
  </conditionalFormatting>
  <dataValidations count="9">
    <dataValidation allowBlank="1" showInputMessage="1" showErrorMessage="1" errorTitle="ERROR" error="Por Favor ingrese solo Números." sqref="E88:G90 G8:G11 E49:G50 E43:G44 E54:G55 C121:F121 E119:G119 E140:F141 E148:F149 E164:F165 E169:F170 C8:C10 B1:G6 E20:G21 E8:F12 E73:G75 E78:G80 B174:C176 C151:C157 B155:D157 C189:D205 B162:D162 C178 D123:D129 B123:B145 C124:C127 C131:D139 A144 C143:C147 E123:F123 C161:C163 B148:B171 C167:C168 E177:F178 C172:D173 C180:C185 E186:F187 B177:B188 G189:G205 D140:D188 B191:B207 B7:B121 D8:D119 C12:C119 H1:XFD207 G121:G122 E128:G129 G140:G142 G148:G150 E158:G159 D206:G207 G178:G185 G161:G168 G172:G176 A652:A1048576 A208:A209 A225:A646 B208:XFD225 B647:XFD1048576 C226:XFD646" xr:uid="{00000000-0002-0000-0200-000000000000}"/>
    <dataValidation type="whole" allowBlank="1" showInputMessage="1" showErrorMessage="1" errorTitle="ERROR" error="Por Favor ingrese solo Números." sqref="E13:G19 G177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E124:F127 E23:G42 E76:G77 E46:G48 E57:G7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E92:G118 E81:G87 E52:G53 G131:G139 G143:G144 G146:G147 G151:G157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F180:F185" xr:uid="{9C3342F5-AA44-404D-A5AC-0970D397F15A}">
      <formula1>0</formula1>
    </dataValidation>
    <dataValidation type="whole" allowBlank="1" showInputMessage="1" showErrorMessage="1" sqref="E131:F139" xr:uid="{FC87842B-9840-48BC-B90A-52B3558789BE}">
      <formula1>0</formula1>
      <formula2>10000000000</formula2>
    </dataValidation>
    <dataValidation type="whole" operator="greaterThanOrEqual" allowBlank="1" showInputMessage="1" showErrorMessage="1" sqref="E189:F205 E172:F176 E161:F163 E151:F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E143:F147 E167:F168 E180:E185" xr:uid="{3D0952D4-8DEF-4922-BBC6-D98F435AE303}">
      <formula1>0</formula1>
    </dataValidation>
    <dataValidation operator="equal" allowBlank="1" showInputMessage="1" showErrorMessage="1" errorTitle="ERROR" error="Por Favor ingrese solo Números." sqref="G124:G127 G145" xr:uid="{BF0A2D46-51E3-4FA5-BFB1-D022BB832A60}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/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354</v>
      </c>
      <c r="C2" s="16" t="s">
        <v>355</v>
      </c>
      <c r="D2" s="17" t="s">
        <v>356</v>
      </c>
    </row>
    <row r="3" spans="2:4" ht="19.5" customHeight="1" x14ac:dyDescent="0.2">
      <c r="B3" s="25" t="s">
        <v>357</v>
      </c>
      <c r="C3" s="24" t="s">
        <v>358</v>
      </c>
      <c r="D3" s="19">
        <f>+NOMBRE!AG2</f>
        <v>1</v>
      </c>
    </row>
    <row r="4" spans="2:4" ht="19.5" customHeight="1" x14ac:dyDescent="0.2">
      <c r="B4" s="25" t="s">
        <v>357</v>
      </c>
      <c r="C4" s="24" t="s">
        <v>359</v>
      </c>
      <c r="D4" s="19">
        <f>+NOMBRE!AG3</f>
        <v>1</v>
      </c>
    </row>
    <row r="5" spans="2:4" ht="19.5" customHeight="1" x14ac:dyDescent="0.2">
      <c r="B5" s="25" t="s">
        <v>357</v>
      </c>
      <c r="C5" s="24" t="s">
        <v>360</v>
      </c>
      <c r="D5" s="19">
        <f>+NOMBRE!AG6</f>
        <v>1</v>
      </c>
    </row>
    <row r="6" spans="2:4" ht="31.5" customHeight="1" thickBot="1" x14ac:dyDescent="0.25">
      <c r="B6" s="50" t="s">
        <v>367</v>
      </c>
      <c r="C6" s="212" t="s">
        <v>366</v>
      </c>
      <c r="D6" s="228" t="str">
        <f>IF('BM18'!B96=0,"SIN DATOS","")</f>
        <v>SIN DATOS</v>
      </c>
    </row>
    <row r="7" spans="2:4" ht="18.75" customHeight="1" thickBot="1" x14ac:dyDescent="0.25">
      <c r="B7" s="20"/>
      <c r="C7" s="21" t="s">
        <v>361</v>
      </c>
      <c r="D7" s="22">
        <f>SUM(D3:D6)</f>
        <v>3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362</v>
      </c>
      <c r="C11" s="23"/>
    </row>
    <row r="12" spans="2:4" ht="14.25" customHeight="1" x14ac:dyDescent="0.2">
      <c r="B12" s="23" t="b">
        <f>ISBLANK(NOMBRE!B2)</f>
        <v>1</v>
      </c>
      <c r="C12" s="23"/>
    </row>
    <row r="13" spans="2:4" ht="14.25" customHeight="1" x14ac:dyDescent="0.2"/>
    <row r="78" spans="4:4" hidden="1" x14ac:dyDescent="0.2">
      <c r="D78" s="33">
        <f>SUM(D3:D5)</f>
        <v>3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86" t="s">
        <v>363</v>
      </c>
      <c r="B1" s="387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8"/>
    </row>
    <row r="2" spans="1:14" ht="19.5" customHeight="1" x14ac:dyDescent="0.2">
      <c r="A2" s="146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49" t="s">
        <v>364</v>
      </c>
      <c r="E5" s="143"/>
      <c r="F5" s="144"/>
      <c r="G5" s="144"/>
      <c r="H5" s="145"/>
    </row>
    <row r="6" spans="1:14" ht="27.75" customHeight="1" x14ac:dyDescent="0.2">
      <c r="B6" s="150" t="s">
        <v>365</v>
      </c>
    </row>
    <row r="7" spans="1:14" x14ac:dyDescent="0.2">
      <c r="B7" s="389" t="str">
        <f>IF(Control!D7&gt;0,"ANTES DE EJECUTAR LA MACRO REVISE LA HOJA CONTROL, EXISTEN ERRORES","")</f>
        <v>ANTES DE EJECUTAR LA MACRO REVISE LA HOJA CONTROL, EXISTEN ERRORES</v>
      </c>
      <c r="C7" s="390"/>
      <c r="D7" s="390"/>
      <c r="E7" s="390"/>
      <c r="F7" s="390"/>
      <c r="G7" s="390"/>
      <c r="H7" s="391"/>
    </row>
    <row r="8" spans="1:14" x14ac:dyDescent="0.2">
      <c r="B8" s="392"/>
      <c r="C8" s="393"/>
      <c r="D8" s="393"/>
      <c r="E8" s="393"/>
      <c r="F8" s="393"/>
      <c r="G8" s="393"/>
      <c r="H8" s="394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Jacqueline Cerda Cordova</cp:lastModifiedBy>
  <cp:revision/>
  <dcterms:created xsi:type="dcterms:W3CDTF">2007-01-29T23:37:08Z</dcterms:created>
  <dcterms:modified xsi:type="dcterms:W3CDTF">2025-02-27T14:07:50Z</dcterms:modified>
  <cp:category/>
  <cp:contentStatus/>
</cp:coreProperties>
</file>