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csepulve_minsal_cl/Documents/Documentos/REM/REM25/DICCIONARIO/SERIE D/"/>
    </mc:Choice>
  </mc:AlternateContent>
  <xr:revisionPtr revIDLastSave="113" documentId="8_{A49852A5-3660-461C-9FB6-CF02C07F8310}" xr6:coauthVersionLast="47" xr6:coauthVersionMax="47" xr10:uidLastSave="{EB5C0E2E-F992-4E7F-8BD4-5668437AA6D8}"/>
  <workbookProtection workbookAlgorithmName="SHA-512" workbookHashValue="o5cW5b4paWuCVnQmbt44d6XbQtGtLl694Xv4WIdF3JEm7W4aJkFoYYotGa2PciX3uS2LJIcvToR8bDzfTvCrjQ==" workbookSaltValue="32v++s8p+WdbSyV9sF4Yvw==" workbookSpinCount="100000" lockStructure="1"/>
  <bookViews>
    <workbookView xWindow="-120" yWindow="-120" windowWidth="29040" windowHeight="15840" tabRatio="599" xr2:uid="{00000000-000D-0000-FFFF-FFFF00000000}"/>
  </bookViews>
  <sheets>
    <sheet name="NOMBRE" sheetId="1" r:id="rId1"/>
    <sheet name="D15" sheetId="2" r:id="rId2"/>
    <sheet name="D16" sheetId="3" r:id="rId3"/>
    <sheet name="Control" sheetId="4" r:id="rId4"/>
    <sheet name="MACROS" sheetId="5" r:id="rId5"/>
  </sheets>
  <definedNames>
    <definedName name="_xlnm._FilterDatabase" localSheetId="0" hidden="1">NOMBRE!$AA$12:$AC$42</definedName>
    <definedName name="_xleta.AND" hidden="1" xlm="1">#NAME?</definedName>
    <definedName name="_xleta.NO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52" i="2" l="1"/>
  <c r="AD52" i="2"/>
  <c r="AC52" i="2"/>
  <c r="AB52" i="2"/>
  <c r="AL52" i="2"/>
  <c r="AK52" i="2"/>
  <c r="AJ52" i="2"/>
  <c r="AI52" i="2"/>
  <c r="B70" i="3"/>
  <c r="AB22" i="3"/>
  <c r="AB23" i="3"/>
  <c r="AB24" i="3"/>
  <c r="AB25" i="3"/>
  <c r="AD22" i="3"/>
  <c r="AD23" i="3"/>
  <c r="AD24" i="3"/>
  <c r="AD25" i="3"/>
  <c r="AD21" i="3"/>
  <c r="AB21" i="3" l="1"/>
  <c r="F21" i="3" s="1"/>
  <c r="AB11" i="3"/>
  <c r="E11" i="3" s="1"/>
  <c r="AB14" i="2" l="1"/>
  <c r="AI13" i="2"/>
  <c r="AB13" i="2" l="1"/>
  <c r="AI14" i="2"/>
  <c r="AB37" i="2" l="1"/>
  <c r="AI75" i="2" l="1"/>
  <c r="AB75" i="2"/>
  <c r="AI37" i="2"/>
  <c r="S37" i="2"/>
  <c r="B3" i="2" l="1"/>
  <c r="B4" i="2"/>
  <c r="B2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K41" i="2"/>
  <c r="J41" i="2"/>
  <c r="L41" i="2"/>
  <c r="M41" i="2"/>
  <c r="R41" i="2"/>
  <c r="Q41" i="2"/>
  <c r="P41" i="2"/>
  <c r="O41" i="2"/>
  <c r="N41" i="2"/>
  <c r="I41" i="2"/>
  <c r="H41" i="2"/>
  <c r="G41" i="2"/>
  <c r="F41" i="2"/>
  <c r="E41" i="2"/>
  <c r="AD12" i="3"/>
  <c r="AD13" i="3"/>
  <c r="AD14" i="3"/>
  <c r="AD15" i="3"/>
  <c r="AD11" i="3"/>
  <c r="AB14" i="3"/>
  <c r="E14" i="3" s="1"/>
  <c r="B71" i="3" l="1"/>
  <c r="M23" i="2"/>
  <c r="H23" i="2"/>
  <c r="H30" i="2"/>
  <c r="M95" i="2" l="1"/>
  <c r="L95" i="2"/>
  <c r="K95" i="2"/>
  <c r="F95" i="2"/>
  <c r="E95" i="2"/>
  <c r="D95" i="2"/>
  <c r="G94" i="2"/>
  <c r="G93" i="2"/>
  <c r="G92" i="2"/>
  <c r="G91" i="2"/>
  <c r="G90" i="2"/>
  <c r="H89" i="2"/>
  <c r="G89" i="2"/>
  <c r="G88" i="2"/>
  <c r="G87" i="2"/>
  <c r="D79" i="2"/>
  <c r="K67" i="2"/>
  <c r="J67" i="2"/>
  <c r="I67" i="2"/>
  <c r="H67" i="2"/>
  <c r="G67" i="2"/>
  <c r="F67" i="2"/>
  <c r="E67" i="2"/>
  <c r="I94" i="2"/>
  <c r="I93" i="2"/>
  <c r="G64" i="2"/>
  <c r="F64" i="2"/>
  <c r="E64" i="2"/>
  <c r="I92" i="2"/>
  <c r="P60" i="2"/>
  <c r="O60" i="2"/>
  <c r="N60" i="2"/>
  <c r="M60" i="2"/>
  <c r="M68" i="2" s="1"/>
  <c r="K60" i="2"/>
  <c r="J60" i="2"/>
  <c r="I60" i="2"/>
  <c r="H60" i="2"/>
  <c r="G60" i="2"/>
  <c r="F60" i="2"/>
  <c r="E60" i="2"/>
  <c r="Q59" i="2"/>
  <c r="Q57" i="2"/>
  <c r="P54" i="2"/>
  <c r="O54" i="2"/>
  <c r="N54" i="2"/>
  <c r="L54" i="2"/>
  <c r="L68" i="2" s="1"/>
  <c r="K54" i="2"/>
  <c r="J54" i="2"/>
  <c r="I54" i="2"/>
  <c r="H54" i="2"/>
  <c r="G54" i="2"/>
  <c r="F54" i="2"/>
  <c r="E54" i="2"/>
  <c r="AI42" i="2"/>
  <c r="K30" i="2"/>
  <c r="J30" i="2"/>
  <c r="I30" i="2"/>
  <c r="G30" i="2"/>
  <c r="F30" i="2"/>
  <c r="E30" i="2"/>
  <c r="H94" i="2"/>
  <c r="H93" i="2"/>
  <c r="J93" i="2" s="1"/>
  <c r="N93" i="2" s="1"/>
  <c r="G27" i="2"/>
  <c r="F27" i="2"/>
  <c r="E27" i="2"/>
  <c r="H92" i="2"/>
  <c r="P23" i="2"/>
  <c r="O23" i="2"/>
  <c r="N23" i="2"/>
  <c r="M31" i="2"/>
  <c r="K23" i="2"/>
  <c r="J23" i="2"/>
  <c r="I23" i="2"/>
  <c r="G23" i="2"/>
  <c r="F23" i="2"/>
  <c r="E23" i="2"/>
  <c r="P17" i="2"/>
  <c r="O17" i="2"/>
  <c r="N17" i="2"/>
  <c r="L17" i="2"/>
  <c r="L31" i="2" s="1"/>
  <c r="K17" i="2"/>
  <c r="J17" i="2"/>
  <c r="I17" i="2"/>
  <c r="H17" i="2"/>
  <c r="H31" i="2" s="1"/>
  <c r="G17" i="2"/>
  <c r="F17" i="2"/>
  <c r="E17" i="2"/>
  <c r="N68" i="2" l="1"/>
  <c r="AI76" i="2"/>
  <c r="AB76" i="2"/>
  <c r="AI78" i="2"/>
  <c r="AB78" i="2"/>
  <c r="S78" i="2" s="1"/>
  <c r="O68" i="2"/>
  <c r="AI77" i="2"/>
  <c r="AB77" i="2"/>
  <c r="S77" i="2" s="1"/>
  <c r="AB39" i="2"/>
  <c r="S39" i="2" s="1"/>
  <c r="AI39" i="2"/>
  <c r="AI16" i="2"/>
  <c r="AB16" i="2"/>
  <c r="AI15" i="2"/>
  <c r="AB15" i="2"/>
  <c r="AB80" i="2"/>
  <c r="AI80" i="2"/>
  <c r="AB42" i="2"/>
  <c r="S42" i="2" s="1"/>
  <c r="AB38" i="2"/>
  <c r="S38" i="2" s="1"/>
  <c r="AI38" i="2"/>
  <c r="AI40" i="2"/>
  <c r="AB40" i="2"/>
  <c r="S40" i="2" s="1"/>
  <c r="I87" i="2"/>
  <c r="E68" i="2"/>
  <c r="I88" i="2"/>
  <c r="F68" i="2"/>
  <c r="S75" i="2"/>
  <c r="B110" i="2"/>
  <c r="E7" i="4" s="1"/>
  <c r="N31" i="2"/>
  <c r="P31" i="2"/>
  <c r="H88" i="2"/>
  <c r="E31" i="2"/>
  <c r="D27" i="2"/>
  <c r="H68" i="2"/>
  <c r="P68" i="2"/>
  <c r="F31" i="2"/>
  <c r="D67" i="2"/>
  <c r="J31" i="2"/>
  <c r="K68" i="2"/>
  <c r="I91" i="2"/>
  <c r="O31" i="2"/>
  <c r="D54" i="2"/>
  <c r="I90" i="2"/>
  <c r="D64" i="2"/>
  <c r="G31" i="2"/>
  <c r="I31" i="2"/>
  <c r="G68" i="2"/>
  <c r="D60" i="2"/>
  <c r="J94" i="2"/>
  <c r="N94" i="2" s="1"/>
  <c r="O94" i="2" s="1"/>
  <c r="K31" i="2"/>
  <c r="I68" i="2"/>
  <c r="H91" i="2"/>
  <c r="J92" i="2"/>
  <c r="N92" i="2" s="1"/>
  <c r="O92" i="2" s="1"/>
  <c r="D41" i="2"/>
  <c r="J68" i="2"/>
  <c r="I89" i="2"/>
  <c r="G95" i="2"/>
  <c r="H90" i="2"/>
  <c r="D17" i="2"/>
  <c r="D23" i="2"/>
  <c r="O93" i="2"/>
  <c r="D30" i="2"/>
  <c r="H87" i="2"/>
  <c r="Q52" i="2" l="1"/>
  <c r="C110" i="2"/>
  <c r="E11" i="4" s="1"/>
  <c r="Q14" i="2"/>
  <c r="Q15" i="2"/>
  <c r="J90" i="2"/>
  <c r="N90" i="2" s="1"/>
  <c r="O90" i="2" s="1"/>
  <c r="J88" i="2"/>
  <c r="N88" i="2" s="1"/>
  <c r="O88" i="2" s="1"/>
  <c r="S76" i="2"/>
  <c r="S80" i="2"/>
  <c r="I95" i="2"/>
  <c r="D31" i="2"/>
  <c r="J91" i="2"/>
  <c r="N91" i="2" s="1"/>
  <c r="O91" i="2" s="1"/>
  <c r="D68" i="2"/>
  <c r="J89" i="2"/>
  <c r="N89" i="2" s="1"/>
  <c r="O89" i="2" s="1"/>
  <c r="AG148" i="2"/>
  <c r="J87" i="2"/>
  <c r="H95" i="2"/>
  <c r="N87" i="2" l="1"/>
  <c r="J95" i="2"/>
  <c r="O87" i="2" l="1"/>
  <c r="N95" i="2"/>
  <c r="O95" i="2" l="1"/>
  <c r="B148" i="2" s="1"/>
  <c r="AB12" i="3"/>
  <c r="E12" i="3" s="1"/>
  <c r="AB13" i="3"/>
  <c r="E13" i="3" s="1"/>
  <c r="AB15" i="3"/>
  <c r="E15" i="3" s="1"/>
  <c r="B4" i="3" l="1"/>
  <c r="B3" i="3"/>
  <c r="B2" i="3"/>
  <c r="E26" i="3" l="1"/>
  <c r="D26" i="3"/>
  <c r="F32" i="3" l="1"/>
  <c r="F33" i="3"/>
  <c r="E43" i="3" l="1"/>
  <c r="D43" i="3"/>
  <c r="D16" i="3"/>
  <c r="G33" i="3" s="1"/>
  <c r="K33" i="3" s="1"/>
  <c r="L33" i="3" s="1"/>
  <c r="C16" i="3"/>
  <c r="G32" i="3" s="1"/>
  <c r="K32" i="3" s="1"/>
  <c r="L32" i="3" s="1"/>
  <c r="C26" i="3" l="1"/>
  <c r="E12" i="4" l="1"/>
  <c r="F22" i="3"/>
  <c r="F23" i="3"/>
  <c r="F24" i="3"/>
  <c r="F25" i="3"/>
  <c r="C43" i="3" l="1"/>
  <c r="I3" i="1"/>
  <c r="B4" i="5" s="1"/>
  <c r="C4" i="4"/>
  <c r="B5" i="3"/>
  <c r="I6" i="1"/>
  <c r="AG6" i="1" s="1"/>
  <c r="I2" i="1"/>
  <c r="AG2" i="1" s="1"/>
  <c r="AG3" i="1" l="1"/>
  <c r="AG7" i="1" s="1"/>
  <c r="E18" i="4" s="1"/>
  <c r="E8" i="4" l="1"/>
  <c r="E6" i="4"/>
  <c r="E100" i="4"/>
  <c r="E10" i="4" l="1"/>
  <c r="E13" i="4" s="1"/>
  <c r="B10" i="5" s="1"/>
</calcChain>
</file>

<file path=xl/sharedStrings.xml><?xml version="1.0" encoding="utf-8"?>
<sst xmlns="http://schemas.openxmlformats.org/spreadsheetml/2006/main" count="853" uniqueCount="183">
  <si>
    <t>DATOS DEL ESTABLECIMIENTO</t>
  </si>
  <si>
    <t>CÓDIGOS</t>
  </si>
  <si>
    <t>NOMBRE DE COMUNA</t>
  </si>
  <si>
    <t>NOMBRE ESTABLECIMIENTO/ESTRATEGIA</t>
  </si>
  <si>
    <t>MES:</t>
  </si>
  <si>
    <t>ENERO</t>
  </si>
  <si>
    <t>AÑO:</t>
  </si>
  <si>
    <t>Versión 1.1: Marzo 2025</t>
  </si>
  <si>
    <t>Director/a Servicio de Salud o Director/a Establecimiento</t>
  </si>
  <si>
    <t>Establecimiento de Mayor Complejidad (EMAYC)</t>
  </si>
  <si>
    <t>SERVICIO DE SALUD</t>
  </si>
  <si>
    <t>Jefe/a de Estadisticas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</si>
  <si>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</si>
  <si>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</si>
  <si>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</si>
  <si>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</si>
  <si>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</si>
  <si>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</si>
  <si>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ABRIL</t>
  </si>
  <si>
    <t>Centros de Diagnóstico Terapeutico (CDT)</t>
  </si>
  <si>
    <t>MINSAL - DEIS</t>
  </si>
  <si>
    <t>MAYO</t>
  </si>
  <si>
    <t>Centro de Referencia de Salud (CRS)</t>
  </si>
  <si>
    <t>JUNIO</t>
  </si>
  <si>
    <t>Centro de Salud Familiar</t>
  </si>
  <si>
    <t>SERIE D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</si>
  <si>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</si>
  <si>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</si>
  <si>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</si>
  <si>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</si>
  <si>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</si>
  <si>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</si>
  <si>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</si>
  <si>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</si>
  <si>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</si>
  <si>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</si>
  <si>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</si>
  <si>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</si>
  <si>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</si>
  <si>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</si>
  <si>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</si>
  <si>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</si>
  <si>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</si>
  <si>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</si>
  <si>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</si>
  <si>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</si>
  <si>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</si>
  <si>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</si>
  <si>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</si>
  <si>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</si>
  <si>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</si>
  <si>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Hospital de Campaña</t>
  </si>
  <si>
    <t>Centro Oncologico</t>
  </si>
  <si>
    <t>SAMU</t>
  </si>
  <si>
    <t>Centro de salud Urbano (CSU)</t>
  </si>
  <si>
    <t>Centro de Rehabilitación (CR)</t>
  </si>
  <si>
    <t>Laboratorio Clínico o Dental</t>
  </si>
  <si>
    <t>Servicio de Atención Primaria de Urgencia Dental (SAPUDENT)</t>
  </si>
  <si>
    <t>AÑO: 2025</t>
  </si>
  <si>
    <t>REM-D.15 - Programa Nacional de Alimentación Complementaria (PNAC)</t>
  </si>
  <si>
    <t>Sección A: PNAC - Cantidad distribuida (kg) a personas intrasistema</t>
  </si>
  <si>
    <t>Subprogramas</t>
  </si>
  <si>
    <t>Productos</t>
  </si>
  <si>
    <t>Total</t>
  </si>
  <si>
    <t>Menores a 6 años</t>
  </si>
  <si>
    <t>Gestantes</t>
  </si>
  <si>
    <t>Persona que amamanta a  hijo/a menor a 12 meses</t>
  </si>
  <si>
    <t>0 - 2 meses</t>
  </si>
  <si>
    <t>3 - 5 meses</t>
  </si>
  <si>
    <t>6 - 11 meses</t>
  </si>
  <si>
    <t>12 - 17 meses</t>
  </si>
  <si>
    <t xml:space="preserve"> 18 - 23 meses</t>
  </si>
  <si>
    <t xml:space="preserve"> 24 - 47 meses</t>
  </si>
  <si>
    <t xml:space="preserve"> 48 - 71 meses</t>
  </si>
  <si>
    <t>Normal, sobrepeso y obesas</t>
  </si>
  <si>
    <t>Bajo peso</t>
  </si>
  <si>
    <t>0 a 5 meses con Lactancia Materna exclusiva</t>
  </si>
  <si>
    <t>0 a 5 meses Lactancia Materna + Fórmula Láctea</t>
  </si>
  <si>
    <t>6 a 11 meses Lactancia Materna</t>
  </si>
  <si>
    <t>Básico</t>
  </si>
  <si>
    <t>Purita +Pro 1 (PP1)</t>
  </si>
  <si>
    <t>Purita +Pro 2 (PP2)</t>
  </si>
  <si>
    <t>Purita Mamá (PM)</t>
  </si>
  <si>
    <t>Fórmula de Inicio (FI)</t>
  </si>
  <si>
    <t>Subtotal</t>
  </si>
  <si>
    <t>Refuerzo</t>
  </si>
  <si>
    <t>Mi Sopita (MS)</t>
  </si>
  <si>
    <t xml:space="preserve">Prematuros </t>
  </si>
  <si>
    <t>Fórmula de Prematuros (FP)</t>
  </si>
  <si>
    <t>Fórmula de Incio (FI)</t>
  </si>
  <si>
    <t>Alergia a la proteína de la leche de vaca</t>
  </si>
  <si>
    <t>Fórmula Extensamente Hidrolizada (FEH)</t>
  </si>
  <si>
    <t>Fórmula Aminoacídica (FAA)</t>
  </si>
  <si>
    <t>Sección B: PNAC - Número de personas intrasistema que retiran</t>
  </si>
  <si>
    <t>Hombres</t>
  </si>
  <si>
    <t>Mujeres</t>
  </si>
  <si>
    <t>Alergia a la Proteína de la leche de vaca</t>
  </si>
  <si>
    <t>TOTAL</t>
  </si>
  <si>
    <t>Programas Sociales (*)</t>
  </si>
  <si>
    <t>Nota: (*) Información referencial, ya incluida en los subprogramas.</t>
  </si>
  <si>
    <t>Sección C: PNAC: Cantidad distribuida (kg) a personas extrasistema (incluye modalidad libre elección)</t>
  </si>
  <si>
    <t xml:space="preserve">Alergia a la proteína de la leche de vaca </t>
  </si>
  <si>
    <t>Sección D: PNAC - Número de personas extrasistema que retiran</t>
  </si>
  <si>
    <t xml:space="preserve"> Mujeres</t>
  </si>
  <si>
    <t xml:space="preserve">Alergia a la Proteína de la leche de vaca </t>
  </si>
  <si>
    <t>Sección E: Existencia y movimiento total de productos (Intrasistema y Extrasistema)</t>
  </si>
  <si>
    <t>Saldo Mes Anterior</t>
  </si>
  <si>
    <t>Ingresos</t>
  </si>
  <si>
    <t>Total Disponible</t>
  </si>
  <si>
    <t>Egresos</t>
  </si>
  <si>
    <t>Saldo mes siguiente</t>
  </si>
  <si>
    <t>Proveedor/Operador Logístico</t>
  </si>
  <si>
    <t>Por traspaso</t>
  </si>
  <si>
    <t>Distribuido a Población Beneficiaria</t>
  </si>
  <si>
    <t>Mermas (Incluye faltantes)</t>
  </si>
  <si>
    <t>Otros (demostraciones, donaciones, etc.)</t>
  </si>
  <si>
    <t>Traspaso</t>
  </si>
  <si>
    <t>Total Egresos</t>
  </si>
  <si>
    <t>Intrasistema</t>
  </si>
  <si>
    <t>Extrasistema</t>
  </si>
  <si>
    <t>Fórmula Prematuros</t>
  </si>
  <si>
    <t>Fórmula aminoacídica (FAA)</t>
  </si>
  <si>
    <t>TOTAL (Kg)</t>
  </si>
  <si>
    <t>REM-D.16.    Programa de Alimentación Complementaria del Adulto Mayor (PACAM)</t>
  </si>
  <si>
    <t>Sección A: PACAM - Cantidad distribuida (kg)</t>
  </si>
  <si>
    <t>Grupo Programático</t>
  </si>
  <si>
    <t>Sopa/Crema</t>
  </si>
  <si>
    <t xml:space="preserve">Bebida Láctea </t>
  </si>
  <si>
    <t>70 años y más (independiente del motivo de ingreso)</t>
  </si>
  <si>
    <t>65 - 69 años con alteración de la funcionalidad</t>
  </si>
  <si>
    <t>65 - 69 años en programa social (Vínculos, Familia, Calle u otro)</t>
  </si>
  <si>
    <t>60 - 69 años con tuberculosis</t>
  </si>
  <si>
    <t>60 - 69 años en ELEAM autorizado o similar</t>
  </si>
  <si>
    <t>Sección B: PACAM - Número de personas que retiran</t>
  </si>
  <si>
    <t>Sopa/Crema - Bebida Láctea</t>
  </si>
  <si>
    <t>Total Hombres</t>
  </si>
  <si>
    <t>Total Mujeres</t>
  </si>
  <si>
    <t>70 años y más (independiente del motivo de ingreso</t>
  </si>
  <si>
    <t>Sección C: Existencia y movimiento de productos</t>
  </si>
  <si>
    <t>Saldo mes anterior</t>
  </si>
  <si>
    <t>Total disponible</t>
  </si>
  <si>
    <t>Distribuido a población beneficiaria</t>
  </si>
  <si>
    <t>Otros: (demostraciones, donaciones, etc.)</t>
  </si>
  <si>
    <t>Total egresos</t>
  </si>
  <si>
    <t>Bebida Láctea</t>
  </si>
  <si>
    <t>Sección D: PACAM - Número de personas que retiran, pertenecientes al PRAIS (incluidos en Sección B)</t>
  </si>
  <si>
    <t>NÚMERO DE ERRORES  SEGÚN :</t>
  </si>
  <si>
    <t>A.- OMISIÓN DE INFORMACIÓN</t>
  </si>
  <si>
    <t>B: VALIDACIÓN DE LOS DATOS</t>
  </si>
  <si>
    <t>REM</t>
  </si>
  <si>
    <t>REM
SIN DATOS</t>
  </si>
  <si>
    <t>CAUSAL</t>
  </si>
  <si>
    <t>OTRA CAUSAL (indicar)</t>
  </si>
  <si>
    <t>HOJA NOMBRE</t>
  </si>
  <si>
    <t>Licencia médica</t>
  </si>
  <si>
    <t>REM 15</t>
  </si>
  <si>
    <t>Feriado Legal</t>
  </si>
  <si>
    <t>REM16</t>
  </si>
  <si>
    <t>No hubo profesional</t>
  </si>
  <si>
    <t>No corresponde REM</t>
  </si>
  <si>
    <t>TOTAL REM SIN INFORMACIÓN</t>
  </si>
  <si>
    <t>Otra causa justificada</t>
  </si>
  <si>
    <t>TOTAL DE ERRORES REM 15</t>
  </si>
  <si>
    <t>TOTAL DE ERRORES REM 16</t>
  </si>
  <si>
    <t>TOTAL DE ERRORES</t>
  </si>
  <si>
    <t>Hoja de Macros y Utilidades</t>
  </si>
  <si>
    <t>COPIA Y PEGA A VALORES TODAS LAS HOJAS
GRABELO CON OTRO NOMBRE</t>
  </si>
  <si>
    <t>Contraseña para copia del archivo :DEIS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</si>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</sst>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"/>
    <numFmt numFmtId="166" formatCode="#,##0.0_)"/>
    <numFmt numFmtId="167" formatCode="#,##0_)"/>
    <numFmt numFmtId="168" formatCode="_-[$€]\ * #,##0.00_-;\-[$€]\ * #,##0.00_-;_-[$€]\ * &quot;-&quot;??_-;_-@_-"/>
    <numFmt numFmtId="169" formatCode="0.000"/>
    <numFmt numFmtId="170" formatCode="#,##0.0"/>
    <numFmt numFmtId="171" formatCode="#,##0.00_)"/>
  </numFmts>
  <fonts count="36" x14ac:knownFonts="1">
    <font>
      <sz val="10"/>
      <name val="Arial"/>
    </font>
    <font>
      <sz val="10"/>
      <name val="Arial"/>
      <family val="2"/>
    </font>
    <font>
      <b/>
      <sz val="11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sz val="11"/>
      <name val="Calibri"/>
      <family val="2"/>
    </font>
    <font>
      <b/>
      <sz val="24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sz val="9"/>
      <name val="Verdana"/>
      <family val="2"/>
    </font>
    <font>
      <b/>
      <sz val="12"/>
      <name val="Verdana"/>
      <family val="2"/>
    </font>
    <font>
      <sz val="12"/>
      <name val="Arial"/>
      <family val="2"/>
    </font>
    <font>
      <b/>
      <sz val="11"/>
      <color indexed="60"/>
      <name val="Verdana"/>
      <family val="2"/>
    </font>
    <font>
      <sz val="11"/>
      <name val="Verdana"/>
      <family val="2"/>
    </font>
    <font>
      <sz val="11"/>
      <color indexed="60"/>
      <name val="Verdana"/>
      <family val="2"/>
    </font>
    <font>
      <sz val="11"/>
      <color indexed="42"/>
      <name val="Verdana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10"/>
      <name val="Verdana"/>
      <family val="2"/>
    </font>
    <font>
      <sz val="11"/>
      <color theme="1"/>
      <name val="Calibri"/>
      <family val="2"/>
      <scheme val="minor"/>
    </font>
    <font>
      <sz val="12"/>
      <name val="Verdana"/>
      <family val="2"/>
    </font>
    <font>
      <b/>
      <sz val="12"/>
      <color indexed="10"/>
      <name val="Verdana"/>
      <family val="2"/>
    </font>
    <font>
      <u/>
      <sz val="8"/>
      <name val="Verdana"/>
      <family val="2"/>
    </font>
    <font>
      <sz val="8"/>
      <color rgb="FFFF0000"/>
      <name val="Verdana"/>
      <family val="2"/>
    </font>
    <font>
      <sz val="9"/>
      <name val="Calibri"/>
      <family val="2"/>
      <scheme val="minor"/>
    </font>
    <font>
      <sz val="10"/>
      <color rgb="FF000000"/>
      <name val="Arial"/>
      <family val="2"/>
    </font>
    <font>
      <sz val="10"/>
      <color indexed="30"/>
      <name val="Verdana"/>
      <family val="2"/>
    </font>
    <font>
      <sz val="9"/>
      <color rgb="FF0070C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58"/>
      </left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medium">
        <color indexed="58"/>
      </left>
      <right/>
      <top style="medium">
        <color indexed="58"/>
      </top>
      <bottom style="medium">
        <color indexed="58"/>
      </bottom>
      <diagonal/>
    </border>
    <border>
      <left/>
      <right/>
      <top style="medium">
        <color indexed="58"/>
      </top>
      <bottom style="medium">
        <color indexed="58"/>
      </bottom>
      <diagonal/>
    </border>
    <border>
      <left/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58"/>
      </left>
      <right/>
      <top style="medium">
        <color indexed="58"/>
      </top>
      <bottom/>
      <diagonal/>
    </border>
    <border>
      <left/>
      <right/>
      <top style="medium">
        <color indexed="58"/>
      </top>
      <bottom/>
      <diagonal/>
    </border>
    <border>
      <left/>
      <right style="medium">
        <color indexed="58"/>
      </right>
      <top style="medium">
        <color indexed="58"/>
      </top>
      <bottom/>
      <diagonal/>
    </border>
    <border>
      <left style="medium">
        <color indexed="58"/>
      </left>
      <right/>
      <top/>
      <bottom style="medium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 style="medium">
        <color indexed="58"/>
      </right>
      <top/>
      <bottom style="medium">
        <color indexed="58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2" borderId="1" applyBorder="0">
      <protection locked="0"/>
    </xf>
    <xf numFmtId="0" fontId="24" fillId="2" borderId="1" applyBorder="0">
      <protection locked="0"/>
    </xf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0" borderId="0"/>
    <xf numFmtId="0" fontId="27" fillId="0" borderId="0"/>
    <xf numFmtId="0" fontId="3" fillId="0" borderId="0" applyFont="0" applyBorder="0" applyAlignment="0" applyProtection="0"/>
    <xf numFmtId="0" fontId="14" fillId="0" borderId="0"/>
    <xf numFmtId="0" fontId="15" fillId="0" borderId="0"/>
    <xf numFmtId="0" fontId="1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668">
    <xf numFmtId="0" fontId="0" fillId="0" borderId="0" xfId="0"/>
    <xf numFmtId="0" fontId="6" fillId="0" borderId="0" xfId="7" applyFont="1" applyAlignment="1" applyProtection="1"/>
    <xf numFmtId="0" fontId="7" fillId="0" borderId="2" xfId="0" applyFont="1" applyBorder="1" applyAlignment="1">
      <alignment horizontal="left" vertical="center"/>
    </xf>
    <xf numFmtId="0" fontId="2" fillId="3" borderId="3" xfId="7" applyFont="1" applyFill="1" applyBorder="1" applyAlignment="1" applyProtection="1">
      <alignment horizontal="center"/>
      <protection locked="0"/>
    </xf>
    <xf numFmtId="0" fontId="2" fillId="3" borderId="4" xfId="7" applyFont="1" applyFill="1" applyBorder="1" applyAlignment="1" applyProtection="1">
      <alignment horizontal="center"/>
      <protection locked="0"/>
    </xf>
    <xf numFmtId="0" fontId="2" fillId="3" borderId="5" xfId="7" applyFont="1" applyFill="1" applyBorder="1" applyAlignment="1" applyProtection="1">
      <alignment horizontal="center"/>
      <protection locked="0"/>
    </xf>
    <xf numFmtId="0" fontId="8" fillId="0" borderId="0" xfId="7" applyFont="1" applyBorder="1" applyAlignment="1" applyProtection="1">
      <alignment horizontal="center" vertical="center"/>
    </xf>
    <xf numFmtId="0" fontId="6" fillId="3" borderId="0" xfId="7" applyFont="1" applyFill="1" applyAlignment="1" applyProtection="1"/>
    <xf numFmtId="0" fontId="2" fillId="0" borderId="0" xfId="7" applyFont="1" applyBorder="1" applyAlignment="1" applyProtection="1">
      <alignment horizontal="center"/>
    </xf>
    <xf numFmtId="0" fontId="8" fillId="0" borderId="0" xfId="7" applyFont="1" applyBorder="1" applyAlignment="1" applyProtection="1">
      <alignment horizontal="left" vertical="center"/>
    </xf>
    <xf numFmtId="0" fontId="2" fillId="0" borderId="0" xfId="7" applyFont="1" applyAlignment="1" applyProtection="1">
      <alignment horizontal="center"/>
    </xf>
    <xf numFmtId="0" fontId="8" fillId="0" borderId="0" xfId="7" applyFont="1" applyAlignment="1" applyProtection="1">
      <alignment horizontal="left" vertical="center"/>
    </xf>
    <xf numFmtId="0" fontId="2" fillId="0" borderId="1" xfId="1" applyFont="1" applyFill="1" applyBorder="1" applyAlignment="1" applyProtection="1">
      <alignment horizontal="center"/>
    </xf>
    <xf numFmtId="0" fontId="9" fillId="3" borderId="0" xfId="7" applyFont="1" applyFill="1" applyAlignment="1" applyProtection="1"/>
    <xf numFmtId="0" fontId="7" fillId="0" borderId="2" xfId="7" applyFont="1" applyBorder="1" applyAlignment="1" applyProtection="1">
      <alignment horizontal="left" vertical="center"/>
    </xf>
    <xf numFmtId="0" fontId="7" fillId="0" borderId="2" xfId="7" applyFont="1" applyBorder="1" applyAlignment="1" applyProtection="1">
      <alignment horizontal="centerContinuous" vertical="center"/>
    </xf>
    <xf numFmtId="0" fontId="11" fillId="0" borderId="0" xfId="7" applyFont="1" applyAlignment="1" applyProtection="1">
      <alignment horizontal="left"/>
    </xf>
    <xf numFmtId="0" fontId="11" fillId="0" borderId="0" xfId="7" applyFont="1" applyAlignment="1" applyProtection="1"/>
    <xf numFmtId="0" fontId="11" fillId="4" borderId="1" xfId="1" applyFont="1" applyFill="1" applyBorder="1" applyAlignment="1">
      <alignment horizontal="center"/>
      <protection locked="0"/>
    </xf>
    <xf numFmtId="1" fontId="6" fillId="0" borderId="0" xfId="7" applyNumberFormat="1" applyFont="1" applyAlignment="1" applyProtection="1">
      <alignment horizontal="right"/>
    </xf>
    <xf numFmtId="49" fontId="6" fillId="0" borderId="0" xfId="7" applyNumberFormat="1" applyFont="1" applyAlignment="1" applyProtection="1">
      <alignment horizontal="center"/>
    </xf>
    <xf numFmtId="0" fontId="6" fillId="0" borderId="0" xfId="7" applyFont="1" applyAlignment="1" applyProtection="1">
      <alignment horizontal="left"/>
    </xf>
    <xf numFmtId="0" fontId="6" fillId="0" borderId="0" xfId="7" applyFont="1" applyAlignment="1" applyProtection="1">
      <alignment horizontal="center"/>
    </xf>
    <xf numFmtId="0" fontId="9" fillId="0" borderId="0" xfId="11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9" fillId="0" borderId="0" xfId="8" applyFont="1" applyAlignment="1">
      <alignment horizontal="center"/>
    </xf>
    <xf numFmtId="0" fontId="9" fillId="0" borderId="0" xfId="9" applyFont="1"/>
    <xf numFmtId="0" fontId="6" fillId="0" borderId="0" xfId="9" applyFont="1"/>
    <xf numFmtId="0" fontId="6" fillId="0" borderId="19" xfId="9" applyFont="1" applyBorder="1" applyAlignment="1">
      <alignment horizontal="center"/>
    </xf>
    <xf numFmtId="165" fontId="6" fillId="0" borderId="0" xfId="9" applyNumberFormat="1" applyFont="1"/>
    <xf numFmtId="166" fontId="6" fillId="0" borderId="0" xfId="9" applyNumberFormat="1" applyFont="1"/>
    <xf numFmtId="0" fontId="6" fillId="0" borderId="0" xfId="9" applyFont="1" applyAlignment="1">
      <alignment horizontal="centerContinuous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3" borderId="0" xfId="9" applyFont="1" applyFill="1" applyProtection="1">
      <protection hidden="1"/>
    </xf>
    <xf numFmtId="0" fontId="11" fillId="0" borderId="0" xfId="0" applyFont="1"/>
    <xf numFmtId="0" fontId="6" fillId="7" borderId="1" xfId="9" applyFont="1" applyFill="1" applyBorder="1" applyProtection="1">
      <protection hidden="1"/>
    </xf>
    <xf numFmtId="0" fontId="9" fillId="0" borderId="0" xfId="10" applyFont="1" applyAlignment="1">
      <alignment horizontal="center"/>
    </xf>
    <xf numFmtId="0" fontId="9" fillId="0" borderId="0" xfId="10" applyFont="1"/>
    <xf numFmtId="9" fontId="17" fillId="0" borderId="0" xfId="12" applyFont="1" applyFill="1" applyBorder="1" applyAlignment="1" applyProtection="1">
      <alignment vertical="center" wrapText="1"/>
    </xf>
    <xf numFmtId="0" fontId="6" fillId="0" borderId="0" xfId="10" applyFont="1"/>
    <xf numFmtId="167" fontId="6" fillId="0" borderId="0" xfId="10" applyNumberFormat="1" applyFont="1"/>
    <xf numFmtId="0" fontId="0" fillId="3" borderId="0" xfId="0" applyFill="1" applyProtection="1">
      <protection hidden="1"/>
    </xf>
    <xf numFmtId="0" fontId="17" fillId="0" borderId="44" xfId="0" applyFont="1" applyBorder="1" applyProtection="1">
      <protection hidden="1"/>
    </xf>
    <xf numFmtId="0" fontId="18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3" borderId="0" xfId="0" applyFill="1"/>
    <xf numFmtId="0" fontId="2" fillId="0" borderId="47" xfId="0" applyFont="1" applyBorder="1" applyProtection="1">
      <protection hidden="1"/>
    </xf>
    <xf numFmtId="0" fontId="18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48" xfId="0" applyBorder="1" applyProtection="1">
      <protection hidden="1"/>
    </xf>
    <xf numFmtId="0" fontId="2" fillId="0" borderId="49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0" fillId="0" borderId="50" xfId="0" applyBorder="1" applyProtection="1">
      <protection hidden="1"/>
    </xf>
    <xf numFmtId="0" fontId="0" fillId="0" borderId="51" xfId="0" applyBorder="1" applyProtection="1"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Protection="1">
      <protection hidden="1"/>
    </xf>
    <xf numFmtId="0" fontId="19" fillId="0" borderId="1" xfId="0" applyFont="1" applyBorder="1" applyAlignment="1" applyProtection="1">
      <alignment horizontal="center"/>
      <protection hidden="1"/>
    </xf>
    <xf numFmtId="0" fontId="20" fillId="3" borderId="0" xfId="0" applyFont="1" applyFill="1" applyProtection="1">
      <protection hidden="1"/>
    </xf>
    <xf numFmtId="0" fontId="21" fillId="0" borderId="1" xfId="0" applyFont="1" applyBorder="1" applyProtection="1">
      <protection hidden="1"/>
    </xf>
    <xf numFmtId="0" fontId="21" fillId="0" borderId="1" xfId="0" applyFont="1" applyBorder="1" applyProtection="1">
      <protection locked="0"/>
    </xf>
    <xf numFmtId="0" fontId="10" fillId="0" borderId="1" xfId="0" applyFont="1" applyBorder="1" applyAlignment="1" applyProtection="1">
      <alignment horizontal="center"/>
      <protection hidden="1"/>
    </xf>
    <xf numFmtId="0" fontId="22" fillId="3" borderId="0" xfId="0" applyFont="1" applyFill="1" applyProtection="1">
      <protection hidden="1"/>
    </xf>
    <xf numFmtId="0" fontId="23" fillId="3" borderId="0" xfId="0" applyFont="1" applyFill="1" applyProtection="1">
      <protection hidden="1"/>
    </xf>
    <xf numFmtId="0" fontId="0" fillId="7" borderId="0" xfId="0" applyFill="1"/>
    <xf numFmtId="0" fontId="6" fillId="10" borderId="0" xfId="10" applyFont="1" applyFill="1"/>
    <xf numFmtId="0" fontId="6" fillId="0" borderId="0" xfId="10" applyFont="1" applyProtection="1">
      <protection hidden="1"/>
    </xf>
    <xf numFmtId="0" fontId="0" fillId="10" borderId="0" xfId="0" applyFill="1" applyProtection="1">
      <protection hidden="1"/>
    </xf>
    <xf numFmtId="168" fontId="6" fillId="0" borderId="0" xfId="3" applyFont="1" applyFill="1" applyBorder="1" applyAlignment="1" applyProtection="1"/>
    <xf numFmtId="0" fontId="7" fillId="4" borderId="1" xfId="2" applyFont="1" applyFill="1" applyBorder="1" applyAlignment="1">
      <alignment horizontal="center"/>
      <protection locked="0"/>
    </xf>
    <xf numFmtId="0" fontId="17" fillId="0" borderId="0" xfId="7" applyFont="1" applyBorder="1" applyAlignment="1" applyProtection="1">
      <alignment horizontal="center" vertical="center" wrapText="1"/>
    </xf>
    <xf numFmtId="0" fontId="26" fillId="0" borderId="0" xfId="7" applyFont="1" applyBorder="1" applyAlignment="1" applyProtection="1">
      <alignment horizontal="left" vertical="center"/>
    </xf>
    <xf numFmtId="0" fontId="26" fillId="0" borderId="56" xfId="7" applyFont="1" applyBorder="1" applyAlignment="1" applyProtection="1">
      <alignment horizontal="left" vertical="center"/>
    </xf>
    <xf numFmtId="0" fontId="8" fillId="0" borderId="0" xfId="7" applyFont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  <protection hidden="1"/>
    </xf>
    <xf numFmtId="0" fontId="7" fillId="0" borderId="0" xfId="0" applyFont="1"/>
    <xf numFmtId="0" fontId="11" fillId="0" borderId="1" xfId="0" applyFont="1" applyBorder="1" applyAlignment="1">
      <alignment wrapText="1"/>
    </xf>
    <xf numFmtId="0" fontId="6" fillId="3" borderId="0" xfId="0" applyFont="1" applyFill="1"/>
    <xf numFmtId="0" fontId="11" fillId="0" borderId="21" xfId="0" applyFont="1" applyBorder="1"/>
    <xf numFmtId="0" fontId="12" fillId="0" borderId="0" xfId="0" applyFont="1"/>
    <xf numFmtId="0" fontId="0" fillId="0" borderId="2" xfId="0" applyBorder="1"/>
    <xf numFmtId="0" fontId="6" fillId="6" borderId="0" xfId="0" applyFont="1" applyFill="1"/>
    <xf numFmtId="0" fontId="6" fillId="0" borderId="33" xfId="9" applyFont="1" applyBorder="1"/>
    <xf numFmtId="0" fontId="16" fillId="0" borderId="0" xfId="10" applyFont="1"/>
    <xf numFmtId="0" fontId="6" fillId="0" borderId="0" xfId="9" applyFont="1" applyAlignment="1">
      <alignment horizontal="left" vertical="top"/>
    </xf>
    <xf numFmtId="0" fontId="6" fillId="0" borderId="0" xfId="9" applyFont="1" applyAlignment="1">
      <alignment horizontal="left" vertical="center" wrapText="1"/>
    </xf>
    <xf numFmtId="1" fontId="16" fillId="0" borderId="0" xfId="4" applyNumberFormat="1" applyFont="1" applyFill="1" applyBorder="1" applyAlignment="1" applyProtection="1"/>
    <xf numFmtId="1" fontId="16" fillId="0" borderId="0" xfId="4" applyNumberFormat="1" applyFont="1" applyFill="1" applyBorder="1" applyAlignment="1" applyProtection="1">
      <protection locked="0"/>
    </xf>
    <xf numFmtId="0" fontId="6" fillId="0" borderId="11" xfId="9" applyFont="1" applyBorder="1" applyAlignment="1">
      <alignment horizontal="left" vertical="center" wrapText="1"/>
    </xf>
    <xf numFmtId="0" fontId="6" fillId="0" borderId="34" xfId="9" applyFont="1" applyBorder="1" applyAlignment="1">
      <alignment horizontal="left" vertical="center" wrapText="1"/>
    </xf>
    <xf numFmtId="1" fontId="6" fillId="4" borderId="12" xfId="1" applyNumberFormat="1" applyFont="1" applyFill="1" applyBorder="1">
      <protection locked="0"/>
    </xf>
    <xf numFmtId="0" fontId="6" fillId="0" borderId="33" xfId="0" applyFont="1" applyBorder="1" applyAlignment="1">
      <alignment vertical="center" wrapText="1"/>
    </xf>
    <xf numFmtId="0" fontId="6" fillId="0" borderId="36" xfId="0" applyFont="1" applyBorder="1" applyAlignment="1">
      <alignment vertical="center" wrapText="1"/>
    </xf>
    <xf numFmtId="0" fontId="6" fillId="0" borderId="63" xfId="0" applyFont="1" applyBorder="1" applyAlignment="1">
      <alignment vertical="center" wrapText="1"/>
    </xf>
    <xf numFmtId="1" fontId="6" fillId="4" borderId="34" xfId="1" applyNumberFormat="1" applyFont="1" applyFill="1" applyBorder="1">
      <protection locked="0"/>
    </xf>
    <xf numFmtId="1" fontId="6" fillId="4" borderId="13" xfId="1" applyNumberFormat="1" applyFont="1" applyFill="1" applyBorder="1"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9" fillId="0" borderId="1" xfId="10" applyFont="1" applyBorder="1" applyAlignment="1">
      <alignment horizontal="center" vertical="center"/>
    </xf>
    <xf numFmtId="1" fontId="6" fillId="4" borderId="14" xfId="1" applyNumberFormat="1" applyFont="1" applyFill="1" applyBorder="1">
      <protection locked="0"/>
    </xf>
    <xf numFmtId="0" fontId="6" fillId="0" borderId="83" xfId="0" applyFont="1" applyBorder="1" applyAlignment="1">
      <alignment horizontal="left" vertical="center" wrapText="1"/>
    </xf>
    <xf numFmtId="1" fontId="6" fillId="4" borderId="39" xfId="1" applyNumberFormat="1" applyFont="1" applyFill="1" applyBorder="1">
      <protection locked="0"/>
    </xf>
    <xf numFmtId="1" fontId="6" fillId="0" borderId="1" xfId="4" applyNumberFormat="1" applyFont="1" applyFill="1" applyBorder="1" applyAlignment="1" applyProtection="1"/>
    <xf numFmtId="1" fontId="6" fillId="0" borderId="3" xfId="4" applyNumberFormat="1" applyFont="1" applyFill="1" applyBorder="1" applyAlignment="1" applyProtection="1"/>
    <xf numFmtId="1" fontId="6" fillId="0" borderId="42" xfId="4" applyNumberFormat="1" applyFont="1" applyFill="1" applyBorder="1" applyAlignment="1" applyProtection="1"/>
    <xf numFmtId="2" fontId="6" fillId="0" borderId="3" xfId="9" applyNumberFormat="1" applyFont="1" applyBorder="1"/>
    <xf numFmtId="2" fontId="6" fillId="0" borderId="20" xfId="9" applyNumberFormat="1" applyFont="1" applyBorder="1"/>
    <xf numFmtId="2" fontId="6" fillId="0" borderId="4" xfId="9" applyNumberFormat="1" applyFont="1" applyBorder="1"/>
    <xf numFmtId="2" fontId="6" fillId="0" borderId="22" xfId="9" applyNumberFormat="1" applyFont="1" applyBorder="1"/>
    <xf numFmtId="0" fontId="6" fillId="0" borderId="1" xfId="9" applyFont="1" applyBorder="1" applyAlignment="1">
      <alignment horizontal="center"/>
    </xf>
    <xf numFmtId="0" fontId="6" fillId="14" borderId="0" xfId="9" applyFont="1" applyFill="1"/>
    <xf numFmtId="0" fontId="6" fillId="14" borderId="0" xfId="9" applyFont="1" applyFill="1" applyProtection="1">
      <protection hidden="1"/>
    </xf>
    <xf numFmtId="166" fontId="6" fillId="14" borderId="0" xfId="9" applyNumberFormat="1" applyFont="1" applyFill="1"/>
    <xf numFmtId="0" fontId="6" fillId="14" borderId="0" xfId="0" applyFont="1" applyFill="1"/>
    <xf numFmtId="0" fontId="9" fillId="14" borderId="0" xfId="9" applyFont="1" applyFill="1"/>
    <xf numFmtId="1" fontId="6" fillId="4" borderId="84" xfId="1" applyNumberFormat="1" applyFont="1" applyFill="1" applyBorder="1">
      <protection locked="0"/>
    </xf>
    <xf numFmtId="1" fontId="6" fillId="4" borderId="66" xfId="1" applyNumberFormat="1" applyFont="1" applyFill="1" applyBorder="1">
      <protection locked="0"/>
    </xf>
    <xf numFmtId="1" fontId="6" fillId="0" borderId="70" xfId="4" applyNumberFormat="1" applyFont="1" applyFill="1" applyBorder="1" applyAlignment="1" applyProtection="1"/>
    <xf numFmtId="1" fontId="6" fillId="0" borderId="4" xfId="4" applyNumberFormat="1" applyFont="1" applyFill="1" applyBorder="1" applyAlignment="1" applyProtection="1"/>
    <xf numFmtId="1" fontId="6" fillId="0" borderId="23" xfId="4" applyNumberFormat="1" applyFont="1" applyFill="1" applyBorder="1" applyAlignment="1" applyProtection="1"/>
    <xf numFmtId="0" fontId="6" fillId="15" borderId="0" xfId="9" applyFont="1" applyFill="1"/>
    <xf numFmtId="0" fontId="6" fillId="0" borderId="60" xfId="0" applyFont="1" applyBorder="1" applyAlignment="1">
      <alignment wrapText="1"/>
    </xf>
    <xf numFmtId="1" fontId="6" fillId="14" borderId="68" xfId="1" applyNumberFormat="1" applyFont="1" applyFill="1" applyBorder="1" applyProtection="1"/>
    <xf numFmtId="1" fontId="6" fillId="4" borderId="28" xfId="1" applyNumberFormat="1" applyFont="1" applyFill="1" applyBorder="1">
      <protection locked="0"/>
    </xf>
    <xf numFmtId="0" fontId="6" fillId="0" borderId="34" xfId="0" applyFont="1" applyBorder="1" applyAlignment="1">
      <alignment wrapText="1"/>
    </xf>
    <xf numFmtId="1" fontId="6" fillId="14" borderId="36" xfId="1" applyNumberFormat="1" applyFont="1" applyFill="1" applyBorder="1" applyProtection="1"/>
    <xf numFmtId="1" fontId="6" fillId="4" borderId="85" xfId="1" applyNumberFormat="1" applyFont="1" applyFill="1" applyBorder="1">
      <protection locked="0"/>
    </xf>
    <xf numFmtId="0" fontId="6" fillId="0" borderId="66" xfId="0" applyFont="1" applyBorder="1" applyAlignment="1">
      <alignment wrapText="1"/>
    </xf>
    <xf numFmtId="1" fontId="6" fillId="4" borderId="64" xfId="1" applyNumberFormat="1" applyFont="1" applyFill="1" applyBorder="1">
      <protection locked="0"/>
    </xf>
    <xf numFmtId="0" fontId="6" fillId="0" borderId="38" xfId="0" applyFont="1" applyBorder="1" applyAlignment="1">
      <alignment wrapText="1"/>
    </xf>
    <xf numFmtId="1" fontId="6" fillId="14" borderId="33" xfId="1" applyNumberFormat="1" applyFont="1" applyFill="1" applyBorder="1" applyProtection="1"/>
    <xf numFmtId="0" fontId="6" fillId="0" borderId="61" xfId="0" applyFont="1" applyBorder="1" applyAlignment="1">
      <alignment wrapText="1"/>
    </xf>
    <xf numFmtId="1" fontId="6" fillId="14" borderId="6" xfId="1" applyNumberFormat="1" applyFont="1" applyFill="1" applyBorder="1" applyProtection="1"/>
    <xf numFmtId="1" fontId="6" fillId="0" borderId="43" xfId="4" applyNumberFormat="1" applyFont="1" applyFill="1" applyBorder="1" applyAlignment="1" applyProtection="1"/>
    <xf numFmtId="170" fontId="6" fillId="4" borderId="9" xfId="1" applyNumberFormat="1" applyFont="1" applyFill="1" applyBorder="1">
      <protection locked="0"/>
    </xf>
    <xf numFmtId="165" fontId="6" fillId="4" borderId="14" xfId="1" applyNumberFormat="1" applyFont="1" applyFill="1" applyBorder="1" applyAlignment="1">
      <alignment horizontal="right"/>
      <protection locked="0"/>
    </xf>
    <xf numFmtId="0" fontId="6" fillId="0" borderId="34" xfId="9" applyFont="1" applyBorder="1" applyAlignment="1">
      <alignment horizontal="left"/>
    </xf>
    <xf numFmtId="1" fontId="6" fillId="4" borderId="60" xfId="1" applyNumberFormat="1" applyFont="1" applyFill="1" applyBorder="1">
      <protection locked="0"/>
    </xf>
    <xf numFmtId="2" fontId="6" fillId="0" borderId="3" xfId="1" applyNumberFormat="1" applyFont="1" applyFill="1" applyBorder="1" applyProtection="1"/>
    <xf numFmtId="2" fontId="6" fillId="0" borderId="4" xfId="1" applyNumberFormat="1" applyFont="1" applyFill="1" applyBorder="1" applyProtection="1"/>
    <xf numFmtId="167" fontId="9" fillId="0" borderId="70" xfId="10" applyNumberFormat="1" applyFont="1" applyBorder="1" applyAlignment="1">
      <alignment vertical="center"/>
    </xf>
    <xf numFmtId="167" fontId="9" fillId="14" borderId="1" xfId="10" applyNumberFormat="1" applyFont="1" applyFill="1" applyBorder="1" applyAlignment="1">
      <alignment vertical="center"/>
    </xf>
    <xf numFmtId="167" fontId="9" fillId="0" borderId="20" xfId="10" applyNumberFormat="1" applyFont="1" applyBorder="1" applyAlignment="1">
      <alignment vertical="center"/>
    </xf>
    <xf numFmtId="2" fontId="6" fillId="0" borderId="20" xfId="1" applyNumberFormat="1" applyFont="1" applyFill="1" applyBorder="1" applyProtection="1"/>
    <xf numFmtId="165" fontId="6" fillId="4" borderId="18" xfId="1" applyNumberFormat="1" applyFont="1" applyFill="1" applyBorder="1" applyAlignment="1">
      <alignment horizontal="right"/>
      <protection locked="0"/>
    </xf>
    <xf numFmtId="165" fontId="6" fillId="0" borderId="60" xfId="10" applyNumberFormat="1" applyFont="1" applyBorder="1"/>
    <xf numFmtId="165" fontId="6" fillId="6" borderId="32" xfId="10" applyNumberFormat="1" applyFont="1" applyFill="1" applyBorder="1"/>
    <xf numFmtId="170" fontId="6" fillId="4" borderId="32" xfId="1" applyNumberFormat="1" applyFont="1" applyFill="1" applyBorder="1">
      <protection locked="0"/>
    </xf>
    <xf numFmtId="170" fontId="6" fillId="4" borderId="8" xfId="1" applyNumberFormat="1" applyFont="1" applyFill="1" applyBorder="1">
      <protection locked="0"/>
    </xf>
    <xf numFmtId="170" fontId="6" fillId="4" borderId="87" xfId="1" applyNumberFormat="1" applyFont="1" applyFill="1" applyBorder="1">
      <protection locked="0"/>
    </xf>
    <xf numFmtId="170" fontId="6" fillId="4" borderId="10" xfId="1" applyNumberFormat="1" applyFont="1" applyFill="1" applyBorder="1">
      <protection locked="0"/>
    </xf>
    <xf numFmtId="165" fontId="6" fillId="0" borderId="32" xfId="1" applyNumberFormat="1" applyFont="1" applyFill="1" applyBorder="1" applyProtection="1"/>
    <xf numFmtId="9" fontId="17" fillId="0" borderId="0" xfId="12" applyFont="1" applyFill="1" applyBorder="1" applyAlignment="1" applyProtection="1">
      <alignment horizontal="center" vertical="center" wrapText="1"/>
    </xf>
    <xf numFmtId="0" fontId="7" fillId="8" borderId="52" xfId="0" applyFont="1" applyFill="1" applyBorder="1" applyAlignment="1">
      <alignment horizontal="center" vertical="center" wrapText="1"/>
    </xf>
    <xf numFmtId="0" fontId="28" fillId="0" borderId="0" xfId="0" applyFont="1"/>
    <xf numFmtId="0" fontId="28" fillId="9" borderId="53" xfId="0" applyFont="1" applyFill="1" applyBorder="1"/>
    <xf numFmtId="0" fontId="28" fillId="9" borderId="54" xfId="0" applyFont="1" applyFill="1" applyBorder="1"/>
    <xf numFmtId="0" fontId="28" fillId="9" borderId="55" xfId="0" applyFont="1" applyFill="1" applyBorder="1"/>
    <xf numFmtId="0" fontId="29" fillId="0" borderId="0" xfId="0" applyFont="1"/>
    <xf numFmtId="165" fontId="6" fillId="0" borderId="0" xfId="9" applyNumberFormat="1" applyFont="1" applyAlignment="1">
      <alignment horizontal="center" vertical="center" wrapText="1"/>
    </xf>
    <xf numFmtId="2" fontId="6" fillId="0" borderId="0" xfId="9" applyNumberFormat="1" applyFont="1"/>
    <xf numFmtId="165" fontId="6" fillId="0" borderId="0" xfId="1" applyNumberFormat="1" applyFont="1" applyFill="1" applyBorder="1" applyProtection="1"/>
    <xf numFmtId="170" fontId="6" fillId="0" borderId="0" xfId="1" applyNumberFormat="1" applyFont="1" applyFill="1" applyBorder="1">
      <protection locked="0"/>
    </xf>
    <xf numFmtId="165" fontId="6" fillId="0" borderId="0" xfId="1" applyNumberFormat="1" applyFont="1" applyFill="1" applyBorder="1" applyAlignment="1">
      <alignment horizontal="right"/>
      <protection locked="0"/>
    </xf>
    <xf numFmtId="166" fontId="6" fillId="0" borderId="0" xfId="10" applyNumberFormat="1" applyFont="1"/>
    <xf numFmtId="0" fontId="9" fillId="0" borderId="0" xfId="10" applyFont="1" applyAlignment="1">
      <alignment horizontal="center" vertical="center"/>
    </xf>
    <xf numFmtId="167" fontId="9" fillId="14" borderId="0" xfId="10" applyNumberFormat="1" applyFont="1" applyFill="1" applyAlignment="1">
      <alignment vertical="center"/>
    </xf>
    <xf numFmtId="167" fontId="9" fillId="0" borderId="0" xfId="10" applyNumberFormat="1" applyFont="1" applyAlignment="1">
      <alignment vertical="center"/>
    </xf>
    <xf numFmtId="2" fontId="9" fillId="0" borderId="0" xfId="10" applyNumberFormat="1" applyFont="1" applyAlignment="1">
      <alignment vertical="center"/>
    </xf>
    <xf numFmtId="171" fontId="9" fillId="0" borderId="0" xfId="10" applyNumberFormat="1" applyFont="1" applyAlignment="1">
      <alignment vertical="center"/>
    </xf>
    <xf numFmtId="0" fontId="6" fillId="0" borderId="6" xfId="9" applyFont="1" applyBorder="1"/>
    <xf numFmtId="0" fontId="6" fillId="6" borderId="0" xfId="0" applyFont="1" applyFill="1" applyAlignment="1">
      <alignment horizontal="left" vertical="top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vertical="top"/>
    </xf>
    <xf numFmtId="0" fontId="6" fillId="6" borderId="0" xfId="0" applyFont="1" applyFill="1" applyAlignment="1">
      <alignment horizontal="left" vertical="center"/>
    </xf>
    <xf numFmtId="0" fontId="6" fillId="0" borderId="1" xfId="10" applyFont="1" applyBorder="1" applyAlignment="1">
      <alignment horizontal="center" vertical="center" wrapText="1"/>
    </xf>
    <xf numFmtId="0" fontId="6" fillId="0" borderId="20" xfId="10" applyFont="1" applyBorder="1" applyAlignment="1">
      <alignment horizontal="center" vertical="center" wrapText="1"/>
    </xf>
    <xf numFmtId="0" fontId="6" fillId="0" borderId="43" xfId="10" applyFont="1" applyBorder="1" applyAlignment="1">
      <alignment horizontal="center" vertical="center" wrapText="1"/>
    </xf>
    <xf numFmtId="168" fontId="6" fillId="0" borderId="0" xfId="3" applyFont="1" applyFill="1" applyAlignment="1" applyProtection="1">
      <alignment vertical="center"/>
    </xf>
    <xf numFmtId="0" fontId="6" fillId="0" borderId="32" xfId="0" applyFont="1" applyBorder="1" applyAlignment="1">
      <alignment wrapText="1"/>
    </xf>
    <xf numFmtId="0" fontId="6" fillId="0" borderId="63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center"/>
    </xf>
    <xf numFmtId="3" fontId="6" fillId="4" borderId="9" xfId="1" applyNumberFormat="1" applyFont="1" applyFill="1" applyBorder="1">
      <protection locked="0"/>
    </xf>
    <xf numFmtId="3" fontId="6" fillId="4" borderId="84" xfId="1" applyNumberFormat="1" applyFont="1" applyFill="1" applyBorder="1">
      <protection locked="0"/>
    </xf>
    <xf numFmtId="3" fontId="6" fillId="4" borderId="85" xfId="1" applyNumberFormat="1" applyFont="1" applyFill="1" applyBorder="1">
      <protection locked="0"/>
    </xf>
    <xf numFmtId="3" fontId="6" fillId="4" borderId="66" xfId="1" applyNumberFormat="1" applyFont="1" applyFill="1" applyBorder="1">
      <protection locked="0"/>
    </xf>
    <xf numFmtId="3" fontId="6" fillId="4" borderId="34" xfId="1" applyNumberFormat="1" applyFont="1" applyFill="1" applyBorder="1">
      <protection locked="0"/>
    </xf>
    <xf numFmtId="3" fontId="6" fillId="4" borderId="64" xfId="1" applyNumberFormat="1" applyFont="1" applyFill="1" applyBorder="1">
      <protection locked="0"/>
    </xf>
    <xf numFmtId="3" fontId="6" fillId="4" borderId="13" xfId="1" applyNumberFormat="1" applyFont="1" applyFill="1" applyBorder="1">
      <protection locked="0"/>
    </xf>
    <xf numFmtId="165" fontId="6" fillId="14" borderId="6" xfId="1" applyNumberFormat="1" applyFont="1" applyFill="1" applyBorder="1" applyProtection="1"/>
    <xf numFmtId="165" fontId="6" fillId="14" borderId="84" xfId="1" applyNumberFormat="1" applyFont="1" applyFill="1" applyBorder="1" applyProtection="1"/>
    <xf numFmtId="165" fontId="6" fillId="14" borderId="12" xfId="1" applyNumberFormat="1" applyFont="1" applyFill="1" applyBorder="1" applyProtection="1"/>
    <xf numFmtId="165" fontId="6" fillId="14" borderId="14" xfId="1" applyNumberFormat="1" applyFont="1" applyFill="1" applyBorder="1" applyProtection="1"/>
    <xf numFmtId="0" fontId="6" fillId="17" borderId="0" xfId="9" applyFont="1" applyFill="1" applyProtection="1">
      <protection hidden="1"/>
    </xf>
    <xf numFmtId="0" fontId="31" fillId="0" borderId="0" xfId="9" applyFont="1"/>
    <xf numFmtId="165" fontId="6" fillId="0" borderId="4" xfId="9" applyNumberFormat="1" applyFont="1" applyBorder="1"/>
    <xf numFmtId="1" fontId="6" fillId="0" borderId="4" xfId="9" applyNumberFormat="1" applyFont="1" applyBorder="1"/>
    <xf numFmtId="165" fontId="6" fillId="0" borderId="5" xfId="9" applyNumberFormat="1" applyFont="1" applyBorder="1"/>
    <xf numFmtId="1" fontId="6" fillId="0" borderId="5" xfId="9" applyNumberFormat="1" applyFont="1" applyBorder="1"/>
    <xf numFmtId="165" fontId="6" fillId="0" borderId="20" xfId="9" applyNumberFormat="1" applyFont="1" applyBorder="1"/>
    <xf numFmtId="165" fontId="6" fillId="0" borderId="3" xfId="9" applyNumberFormat="1" applyFont="1" applyBorder="1"/>
    <xf numFmtId="165" fontId="6" fillId="0" borderId="70" xfId="9" applyNumberFormat="1" applyFont="1" applyBorder="1"/>
    <xf numFmtId="165" fontId="6" fillId="0" borderId="22" xfId="9" applyNumberFormat="1" applyFont="1" applyBorder="1"/>
    <xf numFmtId="165" fontId="6" fillId="0" borderId="25" xfId="9" applyNumberFormat="1" applyFont="1" applyBorder="1"/>
    <xf numFmtId="1" fontId="6" fillId="4" borderId="14" xfId="1" applyNumberFormat="1" applyFont="1" applyFill="1" applyBorder="1" applyAlignment="1">
      <alignment horizontal="right"/>
      <protection locked="0"/>
    </xf>
    <xf numFmtId="1" fontId="6" fillId="4" borderId="18" xfId="1" applyNumberFormat="1" applyFont="1" applyFill="1" applyBorder="1" applyAlignment="1">
      <alignment horizontal="right"/>
      <protection locked="0"/>
    </xf>
    <xf numFmtId="165" fontId="6" fillId="14" borderId="33" xfId="1" applyNumberFormat="1" applyFont="1" applyFill="1" applyBorder="1" applyProtection="1"/>
    <xf numFmtId="1" fontId="6" fillId="4" borderId="37" xfId="1" applyNumberFormat="1" applyFont="1" applyFill="1" applyBorder="1" applyAlignment="1">
      <alignment horizontal="right"/>
      <protection locked="0"/>
    </xf>
    <xf numFmtId="1" fontId="6" fillId="4" borderId="83" xfId="1" applyNumberFormat="1" applyFont="1" applyFill="1" applyBorder="1" applyAlignment="1">
      <alignment horizontal="right"/>
      <protection locked="0"/>
    </xf>
    <xf numFmtId="1" fontId="6" fillId="0" borderId="63" xfId="1" applyNumberFormat="1" applyFont="1" applyFill="1" applyBorder="1" applyProtection="1"/>
    <xf numFmtId="1" fontId="6" fillId="4" borderId="40" xfId="1" applyNumberFormat="1" applyFont="1" applyFill="1" applyBorder="1">
      <protection locked="0"/>
    </xf>
    <xf numFmtId="1" fontId="6" fillId="4" borderId="41" xfId="1" applyNumberFormat="1" applyFont="1" applyFill="1" applyBorder="1">
      <protection locked="0"/>
    </xf>
    <xf numFmtId="1" fontId="6" fillId="0" borderId="61" xfId="10" applyNumberFormat="1" applyFont="1" applyBorder="1"/>
    <xf numFmtId="1" fontId="6" fillId="6" borderId="63" xfId="10" applyNumberFormat="1" applyFont="1" applyFill="1" applyBorder="1"/>
    <xf numFmtId="1" fontId="6" fillId="14" borderId="84" xfId="1" applyNumberFormat="1" applyFont="1" applyFill="1" applyBorder="1" applyProtection="1"/>
    <xf numFmtId="1" fontId="6" fillId="14" borderId="12" xfId="1" applyNumberFormat="1" applyFont="1" applyFill="1" applyBorder="1" applyProtection="1"/>
    <xf numFmtId="1" fontId="6" fillId="14" borderId="14" xfId="1" applyNumberFormat="1" applyFont="1" applyFill="1" applyBorder="1" applyProtection="1"/>
    <xf numFmtId="0" fontId="2" fillId="0" borderId="0" xfId="7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 vertical="center"/>
    </xf>
    <xf numFmtId="0" fontId="7" fillId="4" borderId="21" xfId="2" applyFont="1" applyFill="1" applyBorder="1" applyAlignment="1">
      <alignment horizontal="center"/>
      <protection locked="0"/>
    </xf>
    <xf numFmtId="0" fontId="2" fillId="3" borderId="24" xfId="7" applyFont="1" applyFill="1" applyBorder="1" applyAlignment="1" applyProtection="1">
      <alignment horizontal="center"/>
      <protection locked="0"/>
    </xf>
    <xf numFmtId="0" fontId="2" fillId="3" borderId="25" xfId="7" applyFont="1" applyFill="1" applyBorder="1" applyAlignment="1" applyProtection="1">
      <alignment horizontal="center"/>
      <protection locked="0"/>
    </xf>
    <xf numFmtId="0" fontId="7" fillId="0" borderId="0" xfId="2" applyFont="1" applyFill="1" applyBorder="1" applyAlignment="1">
      <alignment horizontal="center"/>
      <protection locked="0"/>
    </xf>
    <xf numFmtId="0" fontId="6" fillId="0" borderId="0" xfId="7" applyFont="1" applyBorder="1" applyAlignment="1" applyProtection="1"/>
    <xf numFmtId="0" fontId="7" fillId="0" borderId="71" xfId="0" applyFont="1" applyBorder="1" applyAlignment="1">
      <alignment horizontal="left" vertical="center"/>
    </xf>
    <xf numFmtId="0" fontId="7" fillId="0" borderId="59" xfId="0" applyFont="1" applyBorder="1" applyAlignment="1">
      <alignment horizontal="left" vertical="center"/>
    </xf>
    <xf numFmtId="0" fontId="7" fillId="0" borderId="59" xfId="2" applyFont="1" applyFill="1" applyBorder="1" applyAlignment="1">
      <alignment horizontal="center"/>
      <protection locked="0"/>
    </xf>
    <xf numFmtId="0" fontId="2" fillId="0" borderId="59" xfId="7" applyFont="1" applyBorder="1" applyAlignment="1" applyProtection="1">
      <alignment horizontal="center"/>
      <protection locked="0"/>
    </xf>
    <xf numFmtId="0" fontId="6" fillId="0" borderId="11" xfId="9" applyFont="1" applyBorder="1" applyAlignment="1">
      <alignment horizontal="left"/>
    </xf>
    <xf numFmtId="1" fontId="6" fillId="4" borderId="64" xfId="1" applyNumberFormat="1" applyFont="1" applyFill="1" applyBorder="1" applyAlignment="1">
      <alignment horizontal="right"/>
      <protection locked="0"/>
    </xf>
    <xf numFmtId="165" fontId="6" fillId="4" borderId="64" xfId="1" applyNumberFormat="1" applyFont="1" applyFill="1" applyBorder="1" applyAlignment="1">
      <alignment horizontal="right"/>
      <protection locked="0"/>
    </xf>
    <xf numFmtId="1" fontId="6" fillId="4" borderId="33" xfId="1" applyNumberFormat="1" applyFont="1" applyFill="1" applyBorder="1" applyAlignment="1">
      <alignment horizontal="right"/>
      <protection locked="0"/>
    </xf>
    <xf numFmtId="165" fontId="6" fillId="4" borderId="33" xfId="1" applyNumberFormat="1" applyFont="1" applyFill="1" applyBorder="1" applyAlignment="1">
      <alignment horizontal="right"/>
      <protection locked="0"/>
    </xf>
    <xf numFmtId="170" fontId="6" fillId="0" borderId="32" xfId="1" applyNumberFormat="1" applyFont="1" applyFill="1" applyBorder="1" applyProtection="1"/>
    <xf numFmtId="2" fontId="6" fillId="0" borderId="1" xfId="9" applyNumberFormat="1" applyFont="1" applyBorder="1"/>
    <xf numFmtId="2" fontId="6" fillId="0" borderId="21" xfId="9" applyNumberFormat="1" applyFont="1" applyBorder="1"/>
    <xf numFmtId="2" fontId="6" fillId="0" borderId="23" xfId="9" applyNumberFormat="1" applyFont="1" applyBorder="1"/>
    <xf numFmtId="2" fontId="6" fillId="0" borderId="59" xfId="9" applyNumberFormat="1" applyFont="1" applyBorder="1"/>
    <xf numFmtId="165" fontId="6" fillId="0" borderId="24" xfId="9" applyNumberFormat="1" applyFont="1" applyBorder="1"/>
    <xf numFmtId="2" fontId="6" fillId="14" borderId="36" xfId="4" applyNumberFormat="1" applyFont="1" applyFill="1" applyBorder="1" applyAlignment="1" applyProtection="1"/>
    <xf numFmtId="2" fontId="6" fillId="14" borderId="35" xfId="4" applyNumberFormat="1" applyFont="1" applyFill="1" applyBorder="1" applyAlignment="1" applyProtection="1"/>
    <xf numFmtId="2" fontId="6" fillId="14" borderId="88" xfId="4" applyNumberFormat="1" applyFont="1" applyFill="1" applyBorder="1" applyAlignment="1" applyProtection="1"/>
    <xf numFmtId="2" fontId="6" fillId="14" borderId="38" xfId="4" applyNumberFormat="1" applyFont="1" applyFill="1" applyBorder="1" applyAlignment="1" applyProtection="1">
      <alignment horizontal="right"/>
    </xf>
    <xf numFmtId="2" fontId="6" fillId="14" borderId="69" xfId="1" applyNumberFormat="1" applyFont="1" applyFill="1" applyBorder="1" applyProtection="1"/>
    <xf numFmtId="2" fontId="6" fillId="14" borderId="66" xfId="1" applyNumberFormat="1" applyFont="1" applyFill="1" applyBorder="1" applyProtection="1"/>
    <xf numFmtId="2" fontId="6" fillId="14" borderId="60" xfId="1" applyNumberFormat="1" applyFont="1" applyFill="1" applyBorder="1" applyProtection="1"/>
    <xf numFmtId="2" fontId="6" fillId="14" borderId="8" xfId="4" applyNumberFormat="1" applyFont="1" applyFill="1" applyBorder="1" applyAlignment="1" applyProtection="1"/>
    <xf numFmtId="2" fontId="6" fillId="14" borderId="9" xfId="1" applyNumberFormat="1" applyFont="1" applyFill="1" applyBorder="1" applyProtection="1"/>
    <xf numFmtId="2" fontId="6" fillId="14" borderId="10" xfId="4" applyNumberFormat="1" applyFont="1" applyFill="1" applyBorder="1" applyAlignment="1" applyProtection="1">
      <alignment horizontal="right"/>
    </xf>
    <xf numFmtId="2" fontId="6" fillId="14" borderId="32" xfId="1" applyNumberFormat="1" applyFont="1" applyFill="1" applyBorder="1" applyProtection="1"/>
    <xf numFmtId="2" fontId="6" fillId="14" borderId="84" xfId="1" applyNumberFormat="1" applyFont="1" applyFill="1" applyBorder="1" applyProtection="1"/>
    <xf numFmtId="2" fontId="6" fillId="14" borderId="64" xfId="4" applyNumberFormat="1" applyFont="1" applyFill="1" applyBorder="1" applyAlignment="1" applyProtection="1"/>
    <xf numFmtId="2" fontId="6" fillId="14" borderId="17" xfId="1" applyNumberFormat="1" applyFont="1" applyFill="1" applyBorder="1" applyProtection="1"/>
    <xf numFmtId="2" fontId="6" fillId="14" borderId="18" xfId="4" applyNumberFormat="1" applyFont="1" applyFill="1" applyBorder="1" applyAlignment="1" applyProtection="1">
      <alignment horizontal="right"/>
    </xf>
    <xf numFmtId="2" fontId="6" fillId="14" borderId="33" xfId="1" applyNumberFormat="1" applyFont="1" applyFill="1" applyBorder="1" applyProtection="1"/>
    <xf numFmtId="2" fontId="6" fillId="14" borderId="34" xfId="1" applyNumberFormat="1" applyFont="1" applyFill="1" applyBorder="1" applyProtection="1"/>
    <xf numFmtId="2" fontId="6" fillId="14" borderId="85" xfId="4" applyNumberFormat="1" applyFont="1" applyFill="1" applyBorder="1" applyAlignment="1" applyProtection="1"/>
    <xf numFmtId="2" fontId="6" fillId="14" borderId="40" xfId="1" applyNumberFormat="1" applyFont="1" applyFill="1" applyBorder="1" applyProtection="1"/>
    <xf numFmtId="2" fontId="6" fillId="14" borderId="41" xfId="4" applyNumberFormat="1" applyFont="1" applyFill="1" applyBorder="1" applyAlignment="1" applyProtection="1">
      <alignment horizontal="right"/>
    </xf>
    <xf numFmtId="2" fontId="6" fillId="14" borderId="36" xfId="1" applyNumberFormat="1" applyFont="1" applyFill="1" applyBorder="1" applyProtection="1"/>
    <xf numFmtId="2" fontId="6" fillId="14" borderId="38" xfId="1" applyNumberFormat="1" applyFont="1" applyFill="1" applyBorder="1" applyProtection="1"/>
    <xf numFmtId="2" fontId="6" fillId="6" borderId="1" xfId="4" applyNumberFormat="1" applyFont="1" applyFill="1" applyBorder="1" applyAlignment="1" applyProtection="1"/>
    <xf numFmtId="2" fontId="6" fillId="6" borderId="20" xfId="4" applyNumberFormat="1" applyFont="1" applyFill="1" applyBorder="1" applyAlignment="1" applyProtection="1"/>
    <xf numFmtId="2" fontId="6" fillId="6" borderId="57" xfId="4" applyNumberFormat="1" applyFont="1" applyFill="1" applyBorder="1" applyAlignment="1" applyProtection="1"/>
    <xf numFmtId="2" fontId="6" fillId="6" borderId="3" xfId="4" applyNumberFormat="1" applyFont="1" applyFill="1" applyBorder="1" applyAlignment="1" applyProtection="1"/>
    <xf numFmtId="2" fontId="6" fillId="6" borderId="4" xfId="4" applyNumberFormat="1" applyFont="1" applyFill="1" applyBorder="1" applyAlignment="1" applyProtection="1"/>
    <xf numFmtId="2" fontId="6" fillId="6" borderId="5" xfId="4" applyNumberFormat="1" applyFont="1" applyFill="1" applyBorder="1" applyAlignment="1" applyProtection="1"/>
    <xf numFmtId="2" fontId="6" fillId="6" borderId="19" xfId="4" applyNumberFormat="1" applyFont="1" applyFill="1" applyBorder="1" applyAlignment="1" applyProtection="1"/>
    <xf numFmtId="0" fontId="5" fillId="0" borderId="0" xfId="9" applyFont="1"/>
    <xf numFmtId="1" fontId="6" fillId="18" borderId="5" xfId="9" applyNumberFormat="1" applyFont="1" applyFill="1" applyBorder="1"/>
    <xf numFmtId="2" fontId="6" fillId="18" borderId="4" xfId="9" applyNumberFormat="1" applyFont="1" applyFill="1" applyBorder="1"/>
    <xf numFmtId="2" fontId="6" fillId="18" borderId="5" xfId="9" applyNumberFormat="1" applyFont="1" applyFill="1" applyBorder="1"/>
    <xf numFmtId="2" fontId="6" fillId="18" borderId="3" xfId="9" applyNumberFormat="1" applyFont="1" applyFill="1" applyBorder="1"/>
    <xf numFmtId="2" fontId="6" fillId="18" borderId="3" xfId="1" applyNumberFormat="1" applyFont="1" applyFill="1" applyBorder="1" applyProtection="1"/>
    <xf numFmtId="2" fontId="6" fillId="18" borderId="20" xfId="1" applyNumberFormat="1" applyFont="1" applyFill="1" applyBorder="1" applyProtection="1"/>
    <xf numFmtId="2" fontId="6" fillId="18" borderId="4" xfId="1" applyNumberFormat="1" applyFont="1" applyFill="1" applyBorder="1" applyProtection="1"/>
    <xf numFmtId="2" fontId="6" fillId="18" borderId="5" xfId="1" applyNumberFormat="1" applyFont="1" applyFill="1" applyBorder="1" applyProtection="1"/>
    <xf numFmtId="1" fontId="6" fillId="18" borderId="20" xfId="9" applyNumberFormat="1" applyFont="1" applyFill="1" applyBorder="1"/>
    <xf numFmtId="2" fontId="6" fillId="18" borderId="57" xfId="9" applyNumberFormat="1" applyFont="1" applyFill="1" applyBorder="1"/>
    <xf numFmtId="2" fontId="6" fillId="4" borderId="36" xfId="1" applyNumberFormat="1" applyFont="1" applyFill="1" applyBorder="1">
      <protection locked="0"/>
    </xf>
    <xf numFmtId="2" fontId="6" fillId="4" borderId="85" xfId="1" applyNumberFormat="1" applyFont="1" applyFill="1" applyBorder="1" applyAlignment="1">
      <alignment horizontal="right"/>
      <protection locked="0"/>
    </xf>
    <xf numFmtId="2" fontId="6" fillId="4" borderId="89" xfId="1" applyNumberFormat="1" applyFont="1" applyFill="1" applyBorder="1" applyAlignment="1">
      <alignment horizontal="right"/>
      <protection locked="0"/>
    </xf>
    <xf numFmtId="2" fontId="6" fillId="4" borderId="72" xfId="1" applyNumberFormat="1" applyFont="1" applyFill="1" applyBorder="1">
      <protection locked="0"/>
    </xf>
    <xf numFmtId="2" fontId="6" fillId="4" borderId="67" xfId="1" applyNumberFormat="1" applyFont="1" applyFill="1" applyBorder="1">
      <protection locked="0"/>
    </xf>
    <xf numFmtId="2" fontId="6" fillId="4" borderId="32" xfId="1" applyNumberFormat="1" applyFont="1" applyFill="1" applyBorder="1">
      <protection locked="0"/>
    </xf>
    <xf numFmtId="2" fontId="6" fillId="4" borderId="8" xfId="1" applyNumberFormat="1" applyFont="1" applyFill="1" applyBorder="1" applyAlignment="1">
      <alignment horizontal="right"/>
      <protection locked="0"/>
    </xf>
    <xf numFmtId="2" fontId="6" fillId="4" borderId="10" xfId="1" applyNumberFormat="1" applyFont="1" applyFill="1" applyBorder="1" applyAlignment="1">
      <alignment horizontal="right"/>
      <protection locked="0"/>
    </xf>
    <xf numFmtId="2" fontId="6" fillId="4" borderId="8" xfId="1" applyNumberFormat="1" applyFont="1" applyFill="1" applyBorder="1">
      <protection locked="0"/>
    </xf>
    <xf numFmtId="2" fontId="6" fillId="4" borderId="9" xfId="1" applyNumberFormat="1" applyFont="1" applyFill="1" applyBorder="1">
      <protection locked="0"/>
    </xf>
    <xf numFmtId="2" fontId="6" fillId="4" borderId="10" xfId="1" applyNumberFormat="1" applyFont="1" applyFill="1" applyBorder="1">
      <protection locked="0"/>
    </xf>
    <xf numFmtId="2" fontId="6" fillId="4" borderId="33" xfId="1" applyNumberFormat="1" applyFont="1" applyFill="1" applyBorder="1">
      <protection locked="0"/>
    </xf>
    <xf numFmtId="2" fontId="6" fillId="4" borderId="64" xfId="1" applyNumberFormat="1" applyFont="1" applyFill="1" applyBorder="1" applyAlignment="1">
      <alignment horizontal="right"/>
      <protection locked="0"/>
    </xf>
    <xf numFmtId="2" fontId="6" fillId="4" borderId="18" xfId="1" applyNumberFormat="1" applyFont="1" applyFill="1" applyBorder="1" applyAlignment="1">
      <alignment horizontal="right"/>
      <protection locked="0"/>
    </xf>
    <xf numFmtId="2" fontId="6" fillId="4" borderId="64" xfId="1" applyNumberFormat="1" applyFont="1" applyFill="1" applyBorder="1">
      <protection locked="0"/>
    </xf>
    <xf numFmtId="2" fontId="6" fillId="4" borderId="17" xfId="1" applyNumberFormat="1" applyFont="1" applyFill="1" applyBorder="1">
      <protection locked="0"/>
    </xf>
    <xf numFmtId="2" fontId="6" fillId="4" borderId="18" xfId="1" applyNumberFormat="1" applyFont="1" applyFill="1" applyBorder="1">
      <protection locked="0"/>
    </xf>
    <xf numFmtId="2" fontId="6" fillId="4" borderId="63" xfId="1" applyNumberFormat="1" applyFont="1" applyFill="1" applyBorder="1">
      <protection locked="0"/>
    </xf>
    <xf numFmtId="2" fontId="6" fillId="4" borderId="39" xfId="1" applyNumberFormat="1" applyFont="1" applyFill="1" applyBorder="1" applyAlignment="1">
      <alignment horizontal="right"/>
      <protection locked="0"/>
    </xf>
    <xf numFmtId="2" fontId="6" fillId="4" borderId="41" xfId="1" applyNumberFormat="1" applyFont="1" applyFill="1" applyBorder="1" applyAlignment="1">
      <alignment horizontal="right"/>
      <protection locked="0"/>
    </xf>
    <xf numFmtId="2" fontId="6" fillId="4" borderId="85" xfId="1" applyNumberFormat="1" applyFont="1" applyFill="1" applyBorder="1">
      <protection locked="0"/>
    </xf>
    <xf numFmtId="2" fontId="6" fillId="4" borderId="88" xfId="1" applyNumberFormat="1" applyFont="1" applyFill="1" applyBorder="1">
      <protection locked="0"/>
    </xf>
    <xf numFmtId="2" fontId="6" fillId="4" borderId="41" xfId="1" applyNumberFormat="1" applyFont="1" applyFill="1" applyBorder="1">
      <protection locked="0"/>
    </xf>
    <xf numFmtId="0" fontId="6" fillId="16" borderId="0" xfId="9" applyFont="1" applyFill="1" applyProtection="1">
      <protection hidden="1"/>
    </xf>
    <xf numFmtId="2" fontId="6" fillId="18" borderId="20" xfId="9" applyNumberFormat="1" applyFont="1" applyFill="1" applyBorder="1"/>
    <xf numFmtId="169" fontId="6" fillId="18" borderId="20" xfId="9" applyNumberFormat="1" applyFont="1" applyFill="1" applyBorder="1"/>
    <xf numFmtId="1" fontId="6" fillId="0" borderId="96" xfId="9" applyNumberFormat="1" applyFont="1" applyBorder="1"/>
    <xf numFmtId="2" fontId="6" fillId="18" borderId="96" xfId="9" applyNumberFormat="1" applyFont="1" applyFill="1" applyBorder="1"/>
    <xf numFmtId="165" fontId="6" fillId="0" borderId="109" xfId="9" applyNumberFormat="1" applyFont="1" applyBorder="1"/>
    <xf numFmtId="1" fontId="6" fillId="18" borderId="96" xfId="9" applyNumberFormat="1" applyFont="1" applyFill="1" applyBorder="1"/>
    <xf numFmtId="165" fontId="6" fillId="18" borderId="109" xfId="9" applyNumberFormat="1" applyFont="1" applyFill="1" applyBorder="1"/>
    <xf numFmtId="165" fontId="6" fillId="0" borderId="96" xfId="9" applyNumberFormat="1" applyFont="1" applyBorder="1"/>
    <xf numFmtId="2" fontId="6" fillId="18" borderId="109" xfId="9" applyNumberFormat="1" applyFont="1" applyFill="1" applyBorder="1"/>
    <xf numFmtId="169" fontId="6" fillId="18" borderId="109" xfId="9" applyNumberFormat="1" applyFont="1" applyFill="1" applyBorder="1"/>
    <xf numFmtId="169" fontId="6" fillId="18" borderId="96" xfId="9" applyNumberFormat="1" applyFont="1" applyFill="1" applyBorder="1"/>
    <xf numFmtId="1" fontId="6" fillId="0" borderId="20" xfId="4" applyNumberFormat="1" applyFont="1" applyFill="1" applyBorder="1" applyAlignment="1" applyProtection="1"/>
    <xf numFmtId="1" fontId="6" fillId="0" borderId="96" xfId="4" applyNumberFormat="1" applyFont="1" applyFill="1" applyBorder="1" applyAlignment="1" applyProtection="1"/>
    <xf numFmtId="1" fontId="32" fillId="0" borderId="0" xfId="0" applyNumberFormat="1" applyFont="1"/>
    <xf numFmtId="0" fontId="6" fillId="0" borderId="0" xfId="9" applyFont="1" applyProtection="1">
      <protection hidden="1"/>
    </xf>
    <xf numFmtId="0" fontId="31" fillId="0" borderId="0" xfId="9" applyFont="1" applyProtection="1">
      <protection hidden="1"/>
    </xf>
    <xf numFmtId="1" fontId="0" fillId="19" borderId="0" xfId="0" applyNumberFormat="1" applyFill="1"/>
    <xf numFmtId="0" fontId="0" fillId="19" borderId="0" xfId="0" applyFill="1"/>
    <xf numFmtId="0" fontId="6" fillId="0" borderId="74" xfId="0" applyFont="1" applyBorder="1" applyAlignment="1">
      <alignment horizontal="left" vertical="center"/>
    </xf>
    <xf numFmtId="3" fontId="6" fillId="7" borderId="1" xfId="10" applyNumberFormat="1" applyFont="1" applyFill="1" applyBorder="1" applyProtection="1">
      <protection hidden="1"/>
    </xf>
    <xf numFmtId="0" fontId="6" fillId="16" borderId="0" xfId="10" applyFont="1" applyFill="1"/>
    <xf numFmtId="0" fontId="6" fillId="17" borderId="0" xfId="10" applyFont="1" applyFill="1"/>
    <xf numFmtId="167" fontId="9" fillId="14" borderId="1" xfId="10" applyNumberFormat="1" applyFont="1" applyFill="1" applyBorder="1" applyAlignment="1">
      <alignment horizontal="right" vertical="center"/>
    </xf>
    <xf numFmtId="2" fontId="6" fillId="0" borderId="91" xfId="9" applyNumberFormat="1" applyFont="1" applyBorder="1"/>
    <xf numFmtId="2" fontId="6" fillId="18" borderId="70" xfId="9" applyNumberFormat="1" applyFont="1" applyFill="1" applyBorder="1"/>
    <xf numFmtId="169" fontId="6" fillId="18" borderId="70" xfId="9" applyNumberFormat="1" applyFont="1" applyFill="1" applyBorder="1"/>
    <xf numFmtId="0" fontId="6" fillId="0" borderId="70" xfId="0" applyFont="1" applyBorder="1" applyAlignment="1">
      <alignment horizontal="center" vertical="center" wrapText="1"/>
    </xf>
    <xf numFmtId="3" fontId="9" fillId="0" borderId="70" xfId="10" applyNumberFormat="1" applyFont="1" applyBorder="1" applyAlignment="1">
      <alignment vertical="center"/>
    </xf>
    <xf numFmtId="3" fontId="9" fillId="0" borderId="3" xfId="10" applyNumberFormat="1" applyFont="1" applyBorder="1" applyAlignment="1">
      <alignment vertical="center"/>
    </xf>
    <xf numFmtId="0" fontId="13" fillId="3" borderId="68" xfId="7" applyFont="1" applyFill="1" applyBorder="1" applyAlignment="1" applyProtection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" fillId="10" borderId="19" xfId="7" applyFont="1" applyFill="1" applyBorder="1" applyAlignment="1" applyProtection="1">
      <alignment horizontal="center" vertical="center" wrapText="1"/>
    </xf>
    <xf numFmtId="0" fontId="4" fillId="0" borderId="70" xfId="0" applyFont="1" applyBorder="1" applyAlignment="1">
      <alignment horizontal="center" vertical="center" wrapText="1"/>
    </xf>
    <xf numFmtId="0" fontId="5" fillId="10" borderId="19" xfId="7" applyFont="1" applyFill="1" applyBorder="1" applyAlignment="1" applyProtection="1">
      <alignment horizontal="center" vertical="center" wrapText="1"/>
    </xf>
    <xf numFmtId="0" fontId="5" fillId="10" borderId="71" xfId="7" applyFont="1" applyFill="1" applyBorder="1" applyAlignment="1" applyProtection="1">
      <alignment horizontal="center" vertical="center" wrapText="1"/>
    </xf>
    <xf numFmtId="0" fontId="5" fillId="10" borderId="70" xfId="7" applyFont="1" applyFill="1" applyBorder="1" applyAlignment="1" applyProtection="1">
      <alignment horizontal="center" vertical="center" wrapText="1"/>
    </xf>
    <xf numFmtId="0" fontId="10" fillId="3" borderId="19" xfId="7" applyFont="1" applyFill="1" applyBorder="1" applyAlignment="1" applyProtection="1">
      <alignment horizontal="center" vertical="center"/>
    </xf>
    <xf numFmtId="0" fontId="10" fillId="3" borderId="70" xfId="7" applyFont="1" applyFill="1" applyBorder="1" applyAlignment="1" applyProtection="1">
      <alignment horizontal="center" vertical="center"/>
    </xf>
    <xf numFmtId="0" fontId="7" fillId="10" borderId="19" xfId="7" applyFont="1" applyFill="1" applyBorder="1" applyAlignment="1" applyProtection="1">
      <alignment horizontal="center" vertical="center"/>
    </xf>
    <xf numFmtId="0" fontId="7" fillId="10" borderId="70" xfId="7" applyFont="1" applyFill="1" applyBorder="1" applyAlignment="1" applyProtection="1">
      <alignment horizontal="center" vertical="center"/>
    </xf>
    <xf numFmtId="0" fontId="6" fillId="0" borderId="11" xfId="9" applyFont="1" applyBorder="1" applyAlignment="1">
      <alignment horizontal="left"/>
    </xf>
    <xf numFmtId="0" fontId="6" fillId="0" borderId="34" xfId="9" applyFont="1" applyBorder="1" applyAlignment="1">
      <alignment horizontal="left"/>
    </xf>
    <xf numFmtId="0" fontId="6" fillId="0" borderId="29" xfId="9" applyFont="1" applyBorder="1" applyAlignment="1">
      <alignment horizontal="center" vertical="center" wrapText="1"/>
    </xf>
    <xf numFmtId="0" fontId="6" fillId="0" borderId="72" xfId="9" applyFont="1" applyBorder="1" applyAlignment="1">
      <alignment horizontal="center" vertical="center" wrapText="1"/>
    </xf>
    <xf numFmtId="0" fontId="6" fillId="0" borderId="24" xfId="9" applyFont="1" applyBorder="1" applyAlignment="1">
      <alignment horizontal="center" vertical="center" wrapText="1"/>
    </xf>
    <xf numFmtId="0" fontId="6" fillId="0" borderId="65" xfId="9" applyFont="1" applyBorder="1" applyAlignment="1">
      <alignment horizontal="center" vertical="center" wrapText="1"/>
    </xf>
    <xf numFmtId="0" fontId="6" fillId="0" borderId="66" xfId="9" applyFont="1" applyBorder="1" applyAlignment="1">
      <alignment horizontal="center" vertical="center" wrapText="1"/>
    </xf>
    <xf numFmtId="0" fontId="6" fillId="0" borderId="43" xfId="9" applyFont="1" applyBorder="1" applyAlignment="1">
      <alignment horizontal="center" vertical="center" wrapText="1"/>
    </xf>
    <xf numFmtId="0" fontId="6" fillId="0" borderId="31" xfId="9" applyFont="1" applyBorder="1" applyAlignment="1">
      <alignment horizontal="left" vertical="center" wrapText="1"/>
    </xf>
    <xf numFmtId="0" fontId="6" fillId="0" borderId="60" xfId="9" applyFont="1" applyBorder="1" applyAlignment="1">
      <alignment horizontal="left" vertical="center" wrapText="1"/>
    </xf>
    <xf numFmtId="0" fontId="6" fillId="0" borderId="42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165" fontId="6" fillId="0" borderId="19" xfId="9" applyNumberFormat="1" applyFont="1" applyBorder="1" applyAlignment="1">
      <alignment horizontal="center" vertical="center" wrapText="1"/>
    </xf>
    <xf numFmtId="165" fontId="6" fillId="0" borderId="71" xfId="9" applyNumberFormat="1" applyFont="1" applyBorder="1" applyAlignment="1">
      <alignment horizontal="center" vertical="center" wrapText="1"/>
    </xf>
    <xf numFmtId="0" fontId="30" fillId="0" borderId="19" xfId="9" applyFont="1" applyBorder="1" applyAlignment="1">
      <alignment horizontal="left" vertical="center" wrapText="1"/>
    </xf>
    <xf numFmtId="0" fontId="30" fillId="0" borderId="71" xfId="9" applyFont="1" applyBorder="1" applyAlignment="1">
      <alignment horizontal="left" vertical="center" wrapText="1"/>
    </xf>
    <xf numFmtId="0" fontId="6" fillId="0" borderId="26" xfId="9" applyFont="1" applyBorder="1" applyAlignment="1">
      <alignment horizontal="center" vertical="center" wrapText="1"/>
    </xf>
    <xf numFmtId="0" fontId="6" fillId="0" borderId="56" xfId="9" applyFont="1" applyBorder="1" applyAlignment="1">
      <alignment horizontal="center" vertical="center" wrapText="1"/>
    </xf>
    <xf numFmtId="0" fontId="6" fillId="0" borderId="42" xfId="9" applyFont="1" applyBorder="1" applyAlignment="1">
      <alignment horizontal="center" vertical="center" wrapText="1"/>
    </xf>
    <xf numFmtId="0" fontId="6" fillId="0" borderId="68" xfId="9" applyFont="1" applyBorder="1" applyAlignment="1">
      <alignment horizontal="center" vertical="center" wrapText="1"/>
    </xf>
    <xf numFmtId="0" fontId="6" fillId="0" borderId="69" xfId="9" applyFont="1" applyBorder="1" applyAlignment="1">
      <alignment horizontal="center" vertical="center" wrapText="1"/>
    </xf>
    <xf numFmtId="0" fontId="6" fillId="0" borderId="21" xfId="9" applyFont="1" applyBorder="1" applyAlignment="1">
      <alignment horizontal="center" vertical="center" wrapText="1"/>
    </xf>
    <xf numFmtId="0" fontId="6" fillId="0" borderId="71" xfId="9" applyFont="1" applyBorder="1" applyAlignment="1">
      <alignment horizontal="center" vertical="center"/>
    </xf>
    <xf numFmtId="0" fontId="6" fillId="0" borderId="70" xfId="9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68" xfId="0" applyFont="1" applyBorder="1" applyAlignment="1">
      <alignment horizontal="center" vertical="center" wrapText="1"/>
    </xf>
    <xf numFmtId="0" fontId="6" fillId="0" borderId="28" xfId="9" applyFont="1" applyBorder="1" applyAlignment="1">
      <alignment horizontal="center" vertical="center" wrapText="1"/>
    </xf>
    <xf numFmtId="0" fontId="6" fillId="0" borderId="23" xfId="9" applyFont="1" applyBorder="1" applyAlignment="1">
      <alignment horizontal="center" vertical="center" wrapText="1"/>
    </xf>
    <xf numFmtId="0" fontId="6" fillId="0" borderId="30" xfId="9" applyFont="1" applyBorder="1" applyAlignment="1">
      <alignment horizontal="center" vertical="center"/>
    </xf>
    <xf numFmtId="0" fontId="6" fillId="0" borderId="25" xfId="9" applyFont="1" applyBorder="1" applyAlignment="1">
      <alignment horizontal="center" vertical="center"/>
    </xf>
    <xf numFmtId="0" fontId="6" fillId="0" borderId="1" xfId="9" applyFont="1" applyBorder="1" applyAlignment="1">
      <alignment horizontal="center" vertical="center"/>
    </xf>
    <xf numFmtId="0" fontId="6" fillId="0" borderId="3" xfId="9" applyFont="1" applyBorder="1" applyAlignment="1">
      <alignment horizontal="center" vertical="center" wrapText="1"/>
    </xf>
    <xf numFmtId="0" fontId="6" fillId="0" borderId="4" xfId="9" applyFont="1" applyBorder="1" applyAlignment="1">
      <alignment horizontal="center" vertical="center" wrapText="1"/>
    </xf>
    <xf numFmtId="0" fontId="6" fillId="0" borderId="5" xfId="9" applyFont="1" applyBorder="1" applyAlignment="1">
      <alignment horizontal="center" vertical="center" wrapText="1"/>
    </xf>
    <xf numFmtId="0" fontId="6" fillId="0" borderId="1" xfId="9" applyFont="1" applyBorder="1" applyAlignment="1">
      <alignment horizontal="center" vertical="center" wrapText="1"/>
    </xf>
    <xf numFmtId="0" fontId="6" fillId="0" borderId="90" xfId="0" applyFont="1" applyBorder="1" applyAlignment="1">
      <alignment horizontal="left" vertical="center" wrapText="1"/>
    </xf>
    <xf numFmtId="0" fontId="6" fillId="0" borderId="38" xfId="0" applyFont="1" applyBorder="1" applyAlignment="1">
      <alignment horizontal="left" vertical="center" wrapText="1"/>
    </xf>
    <xf numFmtId="0" fontId="6" fillId="0" borderId="19" xfId="9" applyFont="1" applyBorder="1" applyAlignment="1">
      <alignment horizontal="center" vertical="center" wrapText="1"/>
    </xf>
    <xf numFmtId="0" fontId="6" fillId="0" borderId="71" xfId="9" applyFont="1" applyBorder="1" applyAlignment="1">
      <alignment horizontal="center" vertical="center" wrapText="1"/>
    </xf>
    <xf numFmtId="0" fontId="6" fillId="0" borderId="68" xfId="9" applyFont="1" applyBorder="1" applyAlignment="1">
      <alignment horizontal="center" vertical="center"/>
    </xf>
    <xf numFmtId="0" fontId="6" fillId="0" borderId="69" xfId="9" applyFont="1" applyBorder="1" applyAlignment="1">
      <alignment horizontal="center" vertical="center"/>
    </xf>
    <xf numFmtId="0" fontId="6" fillId="0" borderId="21" xfId="9" applyFont="1" applyBorder="1" applyAlignment="1">
      <alignment horizontal="center" vertical="center"/>
    </xf>
    <xf numFmtId="0" fontId="9" fillId="0" borderId="19" xfId="9" applyFont="1" applyBorder="1" applyAlignment="1">
      <alignment horizontal="center" vertical="center"/>
    </xf>
    <xf numFmtId="0" fontId="9" fillId="0" borderId="71" xfId="9" applyFont="1" applyBorder="1" applyAlignment="1">
      <alignment horizontal="center" vertical="center"/>
    </xf>
    <xf numFmtId="0" fontId="9" fillId="0" borderId="70" xfId="9" applyFont="1" applyBorder="1" applyAlignment="1">
      <alignment horizontal="center" vertical="center"/>
    </xf>
    <xf numFmtId="0" fontId="9" fillId="0" borderId="19" xfId="9" applyFont="1" applyBorder="1" applyAlignment="1">
      <alignment horizontal="center" vertical="center" wrapText="1"/>
    </xf>
    <xf numFmtId="0" fontId="9" fillId="0" borderId="71" xfId="9" applyFont="1" applyBorder="1" applyAlignment="1">
      <alignment horizontal="center" vertical="center" wrapText="1"/>
    </xf>
    <xf numFmtId="0" fontId="9" fillId="0" borderId="70" xfId="9" applyFont="1" applyBorder="1" applyAlignment="1">
      <alignment horizontal="center" vertical="center" wrapText="1"/>
    </xf>
    <xf numFmtId="0" fontId="6" fillId="0" borderId="27" xfId="9" quotePrefix="1" applyFont="1" applyBorder="1" applyAlignment="1">
      <alignment horizontal="center" vertical="center"/>
    </xf>
    <xf numFmtId="0" fontId="6" fillId="0" borderId="62" xfId="9" quotePrefix="1" applyFont="1" applyBorder="1" applyAlignment="1">
      <alignment horizontal="center" vertical="center"/>
    </xf>
    <xf numFmtId="0" fontId="6" fillId="0" borderId="22" xfId="9" quotePrefix="1" applyFont="1" applyBorder="1" applyAlignment="1">
      <alignment horizontal="center" vertical="center"/>
    </xf>
    <xf numFmtId="0" fontId="6" fillId="0" borderId="28" xfId="9" quotePrefix="1" applyFont="1" applyBorder="1" applyAlignment="1">
      <alignment horizontal="center" vertical="center"/>
    </xf>
    <xf numFmtId="0" fontId="6" fillId="0" borderId="73" xfId="9" quotePrefix="1" applyFont="1" applyBorder="1" applyAlignment="1">
      <alignment horizontal="center" vertical="center"/>
    </xf>
    <xf numFmtId="0" fontId="6" fillId="0" borderId="23" xfId="9" quotePrefix="1" applyFont="1" applyBorder="1" applyAlignment="1">
      <alignment horizontal="center" vertical="center"/>
    </xf>
    <xf numFmtId="0" fontId="6" fillId="0" borderId="29" xfId="9" quotePrefix="1" applyFont="1" applyBorder="1" applyAlignment="1">
      <alignment horizontal="center" vertical="center"/>
    </xf>
    <xf numFmtId="0" fontId="6" fillId="0" borderId="72" xfId="9" quotePrefix="1" applyFont="1" applyBorder="1" applyAlignment="1">
      <alignment horizontal="center" vertical="center"/>
    </xf>
    <xf numFmtId="0" fontId="6" fillId="0" borderId="24" xfId="9" quotePrefix="1" applyFont="1" applyBorder="1" applyAlignment="1">
      <alignment horizontal="center" vertical="center"/>
    </xf>
    <xf numFmtId="0" fontId="6" fillId="0" borderId="29" xfId="9" applyFont="1" applyBorder="1" applyAlignment="1">
      <alignment horizontal="center" vertical="center"/>
    </xf>
    <xf numFmtId="0" fontId="6" fillId="0" borderId="72" xfId="9" applyFont="1" applyBorder="1" applyAlignment="1">
      <alignment horizontal="center" vertical="center"/>
    </xf>
    <xf numFmtId="0" fontId="6" fillId="0" borderId="24" xfId="9" applyFont="1" applyBorder="1" applyAlignment="1">
      <alignment horizontal="center" vertical="center"/>
    </xf>
    <xf numFmtId="0" fontId="6" fillId="0" borderId="75" xfId="9" quotePrefix="1" applyFont="1" applyBorder="1" applyAlignment="1">
      <alignment horizontal="center" vertical="center"/>
    </xf>
    <xf numFmtId="0" fontId="6" fillId="0" borderId="76" xfId="9" quotePrefix="1" applyFont="1" applyBorder="1" applyAlignment="1">
      <alignment horizontal="center" vertical="center"/>
    </xf>
    <xf numFmtId="0" fontId="6" fillId="0" borderId="58" xfId="9" quotePrefix="1" applyFont="1" applyBorder="1" applyAlignment="1">
      <alignment horizontal="center" vertical="center"/>
    </xf>
    <xf numFmtId="0" fontId="6" fillId="0" borderId="27" xfId="9" applyFont="1" applyBorder="1" applyAlignment="1">
      <alignment horizontal="center" vertical="center" wrapText="1"/>
    </xf>
    <xf numFmtId="0" fontId="6" fillId="0" borderId="62" xfId="9" applyFont="1" applyBorder="1" applyAlignment="1">
      <alignment horizontal="center" vertical="center" wrapText="1"/>
    </xf>
    <xf numFmtId="0" fontId="6" fillId="0" borderId="22" xfId="9" applyFont="1" applyBorder="1" applyAlignment="1">
      <alignment horizontal="center" vertical="center" wrapText="1"/>
    </xf>
    <xf numFmtId="0" fontId="6" fillId="0" borderId="67" xfId="9" applyFont="1" applyBorder="1" applyAlignment="1">
      <alignment horizontal="center" vertical="center"/>
    </xf>
    <xf numFmtId="0" fontId="6" fillId="0" borderId="30" xfId="9" applyFont="1" applyBorder="1" applyAlignment="1">
      <alignment horizontal="center" vertical="center" wrapText="1"/>
    </xf>
    <xf numFmtId="0" fontId="6" fillId="0" borderId="67" xfId="9" applyFont="1" applyBorder="1" applyAlignment="1">
      <alignment horizontal="center" vertical="center" wrapText="1"/>
    </xf>
    <xf numFmtId="0" fontId="6" fillId="0" borderId="25" xfId="9" applyFont="1" applyBorder="1" applyAlignment="1">
      <alignment horizontal="center" vertical="center" wrapText="1"/>
    </xf>
    <xf numFmtId="0" fontId="9" fillId="0" borderId="91" xfId="9" applyFont="1" applyBorder="1" applyAlignment="1">
      <alignment horizontal="center" vertical="center"/>
    </xf>
    <xf numFmtId="0" fontId="9" fillId="0" borderId="20" xfId="9" applyFont="1" applyBorder="1" applyAlignment="1">
      <alignment horizontal="center" vertical="center"/>
    </xf>
    <xf numFmtId="0" fontId="9" fillId="0" borderId="57" xfId="9" applyFont="1" applyBorder="1" applyAlignment="1">
      <alignment horizontal="center" vertical="center"/>
    </xf>
    <xf numFmtId="0" fontId="6" fillId="0" borderId="92" xfId="9" quotePrefix="1" applyFont="1" applyBorder="1" applyAlignment="1">
      <alignment horizontal="center" vertical="center"/>
    </xf>
    <xf numFmtId="0" fontId="6" fillId="0" borderId="93" xfId="9" quotePrefix="1" applyFont="1" applyBorder="1" applyAlignment="1">
      <alignment horizontal="center" vertical="center"/>
    </xf>
    <xf numFmtId="0" fontId="6" fillId="0" borderId="94" xfId="9" quotePrefix="1" applyFont="1" applyBorder="1" applyAlignment="1">
      <alignment horizontal="center" vertical="center"/>
    </xf>
    <xf numFmtId="0" fontId="6" fillId="0" borderId="73" xfId="9" applyFont="1" applyBorder="1" applyAlignment="1">
      <alignment horizontal="center" vertical="center" wrapText="1"/>
    </xf>
    <xf numFmtId="0" fontId="6" fillId="0" borderId="65" xfId="9" applyFont="1" applyBorder="1" applyAlignment="1">
      <alignment horizontal="center" vertical="center"/>
    </xf>
    <xf numFmtId="0" fontId="6" fillId="0" borderId="66" xfId="9" applyFont="1" applyBorder="1" applyAlignment="1">
      <alignment horizontal="center" vertical="center"/>
    </xf>
    <xf numFmtId="0" fontId="6" fillId="0" borderId="43" xfId="9" applyFont="1" applyBorder="1" applyAlignment="1">
      <alignment horizontal="center" vertical="center"/>
    </xf>
    <xf numFmtId="0" fontId="6" fillId="0" borderId="74" xfId="9" applyFont="1" applyBorder="1" applyAlignment="1">
      <alignment horizontal="left"/>
    </xf>
    <xf numFmtId="0" fontId="6" fillId="0" borderId="61" xfId="9" applyFont="1" applyBorder="1" applyAlignment="1">
      <alignment horizontal="left"/>
    </xf>
    <xf numFmtId="0" fontId="6" fillId="0" borderId="21" xfId="9" applyFont="1" applyBorder="1" applyAlignment="1">
      <alignment horizontal="center"/>
    </xf>
    <xf numFmtId="0" fontId="6" fillId="0" borderId="19" xfId="9" applyFont="1" applyBorder="1" applyAlignment="1">
      <alignment horizontal="left" vertical="center" wrapText="1"/>
    </xf>
    <xf numFmtId="0" fontId="6" fillId="0" borderId="71" xfId="9" applyFont="1" applyBorder="1" applyAlignment="1">
      <alignment horizontal="left" vertical="center" wrapText="1"/>
    </xf>
    <xf numFmtId="0" fontId="9" fillId="0" borderId="0" xfId="8" applyFont="1" applyAlignment="1">
      <alignment horizontal="center"/>
    </xf>
    <xf numFmtId="0" fontId="17" fillId="0" borderId="0" xfId="9" applyFont="1" applyAlignment="1">
      <alignment horizontal="center" vertical="center" wrapText="1"/>
    </xf>
    <xf numFmtId="0" fontId="6" fillId="0" borderId="101" xfId="9" applyFont="1" applyBorder="1" applyAlignment="1">
      <alignment horizontal="center" vertical="center"/>
    </xf>
    <xf numFmtId="0" fontId="6" fillId="0" borderId="103" xfId="9" applyFont="1" applyBorder="1" applyAlignment="1">
      <alignment horizontal="center" vertical="center"/>
    </xf>
    <xf numFmtId="0" fontId="6" fillId="0" borderId="105" xfId="9" applyFont="1" applyBorder="1" applyAlignment="1">
      <alignment horizontal="center" vertical="center"/>
    </xf>
    <xf numFmtId="0" fontId="9" fillId="0" borderId="99" xfId="9" applyFont="1" applyBorder="1" applyAlignment="1">
      <alignment horizontal="center" vertical="center"/>
    </xf>
    <xf numFmtId="0" fontId="6" fillId="0" borderId="100" xfId="9" applyFont="1" applyBorder="1" applyAlignment="1">
      <alignment horizontal="center" vertical="center" wrapText="1"/>
    </xf>
    <xf numFmtId="0" fontId="6" fillId="0" borderId="102" xfId="9" applyFont="1" applyBorder="1" applyAlignment="1">
      <alignment horizontal="center" vertical="center" wrapText="1"/>
    </xf>
    <xf numFmtId="0" fontId="6" fillId="0" borderId="104" xfId="9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34" xfId="0" applyFont="1" applyBorder="1" applyAlignment="1">
      <alignment horizontal="left" vertical="center" wrapText="1"/>
    </xf>
    <xf numFmtId="0" fontId="6" fillId="0" borderId="30" xfId="9" quotePrefix="1" applyFont="1" applyBorder="1" applyAlignment="1">
      <alignment horizontal="center" vertical="center"/>
    </xf>
    <xf numFmtId="0" fontId="6" fillId="0" borderId="67" xfId="9" quotePrefix="1" applyFont="1" applyBorder="1" applyAlignment="1">
      <alignment horizontal="center" vertical="center"/>
    </xf>
    <xf numFmtId="0" fontId="6" fillId="0" borderId="25" xfId="9" quotePrefix="1" applyFont="1" applyBorder="1" applyAlignment="1">
      <alignment horizontal="center" vertical="center"/>
    </xf>
    <xf numFmtId="9" fontId="17" fillId="0" borderId="0" xfId="12" applyFont="1" applyFill="1" applyBorder="1" applyAlignment="1" applyProtection="1">
      <alignment horizontal="center" vertical="center" wrapText="1"/>
    </xf>
    <xf numFmtId="0" fontId="6" fillId="0" borderId="68" xfId="10" applyFont="1" applyBorder="1" applyAlignment="1">
      <alignment horizontal="center" vertical="center" wrapText="1"/>
    </xf>
    <xf numFmtId="0" fontId="6" fillId="0" borderId="69" xfId="10" applyFont="1" applyBorder="1" applyAlignment="1">
      <alignment horizontal="center" vertical="center"/>
    </xf>
    <xf numFmtId="0" fontId="6" fillId="0" borderId="21" xfId="10" applyFont="1" applyBorder="1" applyAlignment="1">
      <alignment horizontal="center" vertical="center"/>
    </xf>
    <xf numFmtId="0" fontId="6" fillId="0" borderId="69" xfId="10" applyFont="1" applyBorder="1" applyAlignment="1">
      <alignment horizontal="center" vertical="center" wrapText="1"/>
    </xf>
    <xf numFmtId="0" fontId="6" fillId="0" borderId="21" xfId="10" applyFont="1" applyBorder="1" applyAlignment="1">
      <alignment horizontal="center" vertical="center" wrapText="1"/>
    </xf>
    <xf numFmtId="0" fontId="6" fillId="0" borderId="30" xfId="10" applyFont="1" applyBorder="1" applyAlignment="1">
      <alignment horizontal="center" vertical="center" wrapText="1"/>
    </xf>
    <xf numFmtId="0" fontId="6" fillId="0" borderId="25" xfId="10" applyFont="1" applyBorder="1" applyAlignment="1">
      <alignment horizontal="center" vertical="center" wrapText="1"/>
    </xf>
    <xf numFmtId="0" fontId="5" fillId="0" borderId="59" xfId="10" applyFont="1" applyBorder="1" applyAlignment="1">
      <alignment horizontal="left"/>
    </xf>
    <xf numFmtId="0" fontId="6" fillId="14" borderId="19" xfId="10" applyFont="1" applyFill="1" applyBorder="1" applyAlignment="1">
      <alignment horizontal="center" vertical="center" wrapText="1"/>
    </xf>
    <xf numFmtId="0" fontId="6" fillId="14" borderId="71" xfId="10" applyFont="1" applyFill="1" applyBorder="1" applyAlignment="1">
      <alignment horizontal="center" vertical="center" wrapText="1"/>
    </xf>
    <xf numFmtId="0" fontId="6" fillId="14" borderId="70" xfId="10" applyFont="1" applyFill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/>
    </xf>
    <xf numFmtId="0" fontId="9" fillId="0" borderId="71" xfId="10" applyFont="1" applyBorder="1" applyAlignment="1">
      <alignment horizontal="center" vertical="center"/>
    </xf>
    <xf numFmtId="0" fontId="9" fillId="0" borderId="70" xfId="10" applyFont="1" applyBorder="1" applyAlignment="1">
      <alignment horizontal="center" vertical="center"/>
    </xf>
    <xf numFmtId="0" fontId="6" fillId="0" borderId="27" xfId="10" applyFont="1" applyBorder="1" applyAlignment="1">
      <alignment horizontal="center" vertical="center" wrapText="1"/>
    </xf>
    <xf numFmtId="0" fontId="6" fillId="0" borderId="22" xfId="10" applyFont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 wrapText="1"/>
    </xf>
    <xf numFmtId="0" fontId="9" fillId="0" borderId="70" xfId="0" applyFont="1" applyBorder="1" applyAlignment="1">
      <alignment horizontal="center" vertical="center" wrapText="1"/>
    </xf>
    <xf numFmtId="0" fontId="5" fillId="0" borderId="0" xfId="10" applyFont="1" applyAlignment="1">
      <alignment horizontal="left"/>
    </xf>
    <xf numFmtId="0" fontId="17" fillId="8" borderId="53" xfId="0" applyFont="1" applyFill="1" applyBorder="1" applyAlignment="1">
      <alignment horizontal="center" vertical="center" wrapText="1"/>
    </xf>
    <xf numFmtId="0" fontId="17" fillId="8" borderId="54" xfId="0" applyFont="1" applyFill="1" applyBorder="1" applyAlignment="1">
      <alignment horizontal="center" vertical="center" wrapText="1"/>
    </xf>
    <xf numFmtId="0" fontId="17" fillId="8" borderId="55" xfId="0" applyFont="1" applyFill="1" applyBorder="1" applyAlignment="1">
      <alignment horizontal="center" vertical="center" wrapText="1"/>
    </xf>
    <xf numFmtId="0" fontId="29" fillId="8" borderId="77" xfId="0" applyFont="1" applyFill="1" applyBorder="1" applyAlignment="1">
      <alignment horizontal="center" vertical="center" wrapText="1"/>
    </xf>
    <xf numFmtId="0" fontId="29" fillId="8" borderId="78" xfId="0" applyFont="1" applyFill="1" applyBorder="1" applyAlignment="1">
      <alignment horizontal="center" vertical="center" wrapText="1"/>
    </xf>
    <xf numFmtId="0" fontId="29" fillId="8" borderId="79" xfId="0" applyFont="1" applyFill="1" applyBorder="1" applyAlignment="1">
      <alignment horizontal="center" vertical="center" wrapText="1"/>
    </xf>
    <xf numFmtId="0" fontId="29" fillId="8" borderId="80" xfId="0" applyFont="1" applyFill="1" applyBorder="1" applyAlignment="1">
      <alignment horizontal="center" vertical="center" wrapText="1"/>
    </xf>
    <xf numFmtId="0" fontId="29" fillId="8" borderId="81" xfId="0" applyFont="1" applyFill="1" applyBorder="1" applyAlignment="1">
      <alignment horizontal="center" vertical="center" wrapText="1"/>
    </xf>
    <xf numFmtId="0" fontId="29" fillId="8" borderId="82" xfId="0" applyFont="1" applyFill="1" applyBorder="1" applyAlignment="1">
      <alignment horizontal="center" vertical="center" wrapText="1"/>
    </xf>
    <xf numFmtId="0" fontId="34" fillId="0" borderId="0" xfId="9" applyFont="1" applyAlignment="1">
      <alignment horizontal="center"/>
    </xf>
    <xf numFmtId="0" fontId="6" fillId="20" borderId="0" xfId="9" applyFont="1" applyFill="1"/>
    <xf numFmtId="166" fontId="6" fillId="20" borderId="0" xfId="9" applyNumberFormat="1" applyFont="1" applyFill="1"/>
    <xf numFmtId="0" fontId="1" fillId="20" borderId="0" xfId="13" applyFill="1"/>
    <xf numFmtId="0" fontId="34" fillId="0" borderId="66" xfId="9" applyFont="1" applyBorder="1" applyAlignment="1">
      <alignment horizontal="center"/>
    </xf>
    <xf numFmtId="3" fontId="6" fillId="14" borderId="6" xfId="9" applyNumberFormat="1" applyFont="1" applyFill="1" applyBorder="1" applyAlignment="1">
      <alignment horizontal="left"/>
    </xf>
    <xf numFmtId="170" fontId="6" fillId="12" borderId="12" xfId="1" applyNumberFormat="1" applyFont="1" applyFill="1" applyBorder="1" applyAlignment="1" applyProtection="1">
      <alignment horizontal="left"/>
    </xf>
    <xf numFmtId="170" fontId="6" fillId="12" borderId="14" xfId="1" applyNumberFormat="1" applyFont="1" applyFill="1" applyBorder="1" applyAlignment="1" applyProtection="1">
      <alignment horizontal="left"/>
    </xf>
    <xf numFmtId="3" fontId="6" fillId="4" borderId="14" xfId="1" applyNumberFormat="1" applyFont="1" applyFill="1" applyBorder="1" applyAlignment="1">
      <alignment horizontal="left"/>
      <protection locked="0"/>
    </xf>
    <xf numFmtId="170" fontId="6" fillId="12" borderId="95" xfId="1" applyNumberFormat="1" applyFont="1" applyFill="1" applyBorder="1" applyAlignment="1" applyProtection="1">
      <alignment horizontal="left"/>
    </xf>
    <xf numFmtId="170" fontId="6" fillId="12" borderId="106" xfId="1" applyNumberFormat="1" applyFont="1" applyFill="1" applyBorder="1" applyAlignment="1" applyProtection="1">
      <alignment horizontal="left"/>
    </xf>
    <xf numFmtId="170" fontId="6" fillId="12" borderId="107" xfId="1" applyNumberFormat="1" applyFont="1" applyFill="1" applyBorder="1" applyAlignment="1" applyProtection="1">
      <alignment horizontal="left"/>
    </xf>
    <xf numFmtId="170" fontId="6" fillId="12" borderId="13" xfId="1" applyNumberFormat="1" applyFont="1" applyFill="1" applyBorder="1" applyAlignment="1" applyProtection="1">
      <alignment horizontal="left"/>
    </xf>
    <xf numFmtId="170" fontId="6" fillId="12" borderId="84" xfId="1" applyNumberFormat="1" applyFont="1" applyFill="1" applyBorder="1" applyAlignment="1" applyProtection="1">
      <alignment horizontal="left"/>
    </xf>
    <xf numFmtId="1" fontId="6" fillId="5" borderId="12" xfId="1" applyNumberFormat="1" applyFont="1" applyFill="1" applyBorder="1" applyAlignment="1" applyProtection="1">
      <alignment horizontal="left"/>
    </xf>
    <xf numFmtId="1" fontId="6" fillId="5" borderId="13" xfId="1" applyNumberFormat="1" applyFont="1" applyFill="1" applyBorder="1" applyAlignment="1" applyProtection="1">
      <alignment horizontal="left"/>
    </xf>
    <xf numFmtId="1" fontId="6" fillId="5" borderId="14" xfId="1" applyNumberFormat="1" applyFont="1" applyFill="1" applyBorder="1" applyAlignment="1" applyProtection="1">
      <alignment horizontal="left"/>
    </xf>
    <xf numFmtId="1" fontId="6" fillId="5" borderId="14" xfId="9" applyNumberFormat="1" applyFont="1" applyFill="1" applyBorder="1" applyAlignment="1">
      <alignment horizontal="left"/>
    </xf>
    <xf numFmtId="165" fontId="6" fillId="12" borderId="14" xfId="1" applyNumberFormat="1" applyFont="1" applyFill="1" applyBorder="1" applyAlignment="1" applyProtection="1">
      <alignment horizontal="left"/>
    </xf>
    <xf numFmtId="3" fontId="6" fillId="4" borderId="95" xfId="9" applyNumberFormat="1" applyFont="1" applyFill="1" applyBorder="1" applyAlignment="1" applyProtection="1">
      <alignment horizontal="left"/>
      <protection locked="0"/>
    </xf>
    <xf numFmtId="1" fontId="6" fillId="11" borderId="106" xfId="2" applyNumberFormat="1" applyFont="1" applyFill="1" applyBorder="1" applyAlignment="1">
      <alignment horizontal="left"/>
      <protection locked="0"/>
    </xf>
    <xf numFmtId="1" fontId="6" fillId="5" borderId="108" xfId="9" applyNumberFormat="1" applyFont="1" applyFill="1" applyBorder="1" applyAlignment="1">
      <alignment horizontal="left"/>
    </xf>
    <xf numFmtId="1" fontId="6" fillId="11" borderId="13" xfId="2" applyNumberFormat="1" applyFont="1" applyFill="1" applyBorder="1" applyAlignment="1">
      <alignment horizontal="left"/>
      <protection locked="0"/>
    </xf>
    <xf numFmtId="1" fontId="6" fillId="11" borderId="14" xfId="2" applyNumberFormat="1" applyFont="1" applyFill="1" applyBorder="1" applyAlignment="1">
      <alignment horizontal="left"/>
      <protection locked="0"/>
    </xf>
    <xf numFmtId="1" fontId="6" fillId="11" borderId="84" xfId="2" applyNumberFormat="1" applyFont="1" applyFill="1" applyBorder="1" applyAlignment="1">
      <alignment horizontal="left"/>
      <protection locked="0"/>
    </xf>
    <xf numFmtId="165" fontId="6" fillId="14" borderId="6" xfId="9" applyNumberFormat="1" applyFont="1" applyFill="1" applyBorder="1" applyAlignment="1">
      <alignment horizontal="left"/>
    </xf>
    <xf numFmtId="169" fontId="6" fillId="5" borderId="62" xfId="1" applyNumberFormat="1" applyFont="1" applyFill="1" applyBorder="1" applyAlignment="1" applyProtection="1">
      <alignment horizontal="left"/>
    </xf>
    <xf numFmtId="169" fontId="6" fillId="5" borderId="13" xfId="1" applyNumberFormat="1" applyFont="1" applyFill="1" applyBorder="1" applyAlignment="1" applyProtection="1">
      <alignment horizontal="left"/>
    </xf>
    <xf numFmtId="169" fontId="6" fillId="5" borderId="14" xfId="1" applyNumberFormat="1" applyFont="1" applyFill="1" applyBorder="1" applyAlignment="1" applyProtection="1">
      <alignment horizontal="left"/>
    </xf>
    <xf numFmtId="169" fontId="6" fillId="5" borderId="14" xfId="9" applyNumberFormat="1" applyFont="1" applyFill="1" applyBorder="1" applyAlignment="1">
      <alignment horizontal="left"/>
    </xf>
    <xf numFmtId="169" fontId="6" fillId="5" borderId="95" xfId="9" applyNumberFormat="1" applyFont="1" applyFill="1" applyBorder="1" applyAlignment="1">
      <alignment horizontal="left"/>
    </xf>
    <xf numFmtId="170" fontId="6" fillId="4" borderId="106" xfId="1" applyNumberFormat="1" applyFont="1" applyFill="1" applyBorder="1" applyAlignment="1">
      <alignment horizontal="left"/>
      <protection locked="0"/>
    </xf>
    <xf numFmtId="169" fontId="6" fillId="5" borderId="108" xfId="9" applyNumberFormat="1" applyFont="1" applyFill="1" applyBorder="1" applyAlignment="1">
      <alignment horizontal="left"/>
    </xf>
    <xf numFmtId="165" fontId="6" fillId="13" borderId="13" xfId="1" applyNumberFormat="1" applyFont="1" applyFill="1" applyBorder="1" applyAlignment="1">
      <alignment horizontal="left"/>
      <protection locked="0"/>
    </xf>
    <xf numFmtId="165" fontId="6" fillId="13" borderId="14" xfId="1" applyNumberFormat="1" applyFont="1" applyFill="1" applyBorder="1" applyAlignment="1">
      <alignment horizontal="left"/>
      <protection locked="0"/>
    </xf>
    <xf numFmtId="165" fontId="6" fillId="13" borderId="84" xfId="1" applyNumberFormat="1" applyFont="1" applyFill="1" applyBorder="1" applyAlignment="1">
      <alignment horizontal="left"/>
      <protection locked="0"/>
    </xf>
    <xf numFmtId="2" fontId="6" fillId="0" borderId="6" xfId="9" applyNumberFormat="1" applyFont="1" applyBorder="1" applyAlignment="1">
      <alignment horizontal="left"/>
    </xf>
    <xf numFmtId="2" fontId="6" fillId="4" borderId="37" xfId="1" applyNumberFormat="1" applyFont="1" applyFill="1" applyBorder="1" applyAlignment="1">
      <alignment horizontal="left"/>
      <protection locked="0"/>
    </xf>
    <xf numFmtId="2" fontId="6" fillId="4" borderId="40" xfId="1" applyNumberFormat="1" applyFont="1" applyFill="1" applyBorder="1" applyAlignment="1">
      <alignment horizontal="left"/>
      <protection locked="0"/>
    </xf>
    <xf numFmtId="169" fontId="6" fillId="12" borderId="24" xfId="1" applyNumberFormat="1" applyFont="1" applyFill="1" applyBorder="1" applyAlignment="1" applyProtection="1">
      <alignment horizontal="left"/>
    </xf>
    <xf numFmtId="169" fontId="6" fillId="12" borderId="94" xfId="1" applyNumberFormat="1" applyFont="1" applyFill="1" applyBorder="1" applyAlignment="1" applyProtection="1">
      <alignment horizontal="left"/>
    </xf>
    <xf numFmtId="169" fontId="6" fillId="12" borderId="104" xfId="1" applyNumberFormat="1" applyFont="1" applyFill="1" applyBorder="1" applyAlignment="1" applyProtection="1">
      <alignment horizontal="left"/>
    </xf>
    <xf numFmtId="169" fontId="6" fillId="18" borderId="105" xfId="1" applyNumberFormat="1" applyFont="1" applyFill="1" applyBorder="1" applyAlignment="1" applyProtection="1">
      <alignment horizontal="left"/>
    </xf>
    <xf numFmtId="169" fontId="6" fillId="12" borderId="23" xfId="1" applyNumberFormat="1" applyFont="1" applyFill="1" applyBorder="1" applyAlignment="1" applyProtection="1">
      <alignment horizontal="left"/>
    </xf>
    <xf numFmtId="169" fontId="6" fillId="12" borderId="43" xfId="1" applyNumberFormat="1" applyFont="1" applyFill="1" applyBorder="1" applyAlignment="1" applyProtection="1">
      <alignment horizontal="left"/>
    </xf>
    <xf numFmtId="1" fontId="6" fillId="0" borderId="32" xfId="4" applyNumberFormat="1" applyFont="1" applyFill="1" applyBorder="1" applyAlignment="1" applyProtection="1">
      <alignment horizontal="left"/>
    </xf>
    <xf numFmtId="1" fontId="6" fillId="4" borderId="32" xfId="1" applyNumberFormat="1" applyFont="1" applyFill="1" applyBorder="1" applyAlignment="1">
      <alignment horizontal="left"/>
      <protection locked="0"/>
    </xf>
    <xf numFmtId="1" fontId="6" fillId="4" borderId="12" xfId="1" applyNumberFormat="1" applyFont="1" applyFill="1" applyBorder="1" applyAlignment="1">
      <alignment horizontal="left"/>
      <protection locked="0"/>
    </xf>
    <xf numFmtId="1" fontId="6" fillId="4" borderId="14" xfId="1" applyNumberFormat="1" applyFont="1" applyFill="1" applyBorder="1" applyAlignment="1">
      <alignment horizontal="left"/>
      <protection locked="0"/>
    </xf>
    <xf numFmtId="1" fontId="6" fillId="4" borderId="98" xfId="1" applyNumberFormat="1" applyFont="1" applyFill="1" applyBorder="1" applyAlignment="1">
      <alignment horizontal="left"/>
      <protection locked="0"/>
    </xf>
    <xf numFmtId="1" fontId="6" fillId="4" borderId="8" xfId="1" applyNumberFormat="1" applyFont="1" applyFill="1" applyBorder="1" applyAlignment="1">
      <alignment horizontal="left"/>
      <protection locked="0"/>
    </xf>
    <xf numFmtId="1" fontId="6" fillId="5" borderId="60" xfId="4" applyNumberFormat="1" applyFont="1" applyFill="1" applyBorder="1" applyAlignment="1" applyProtection="1">
      <alignment horizontal="left"/>
    </xf>
    <xf numFmtId="1" fontId="6" fillId="4" borderId="84" xfId="1" applyNumberFormat="1" applyFont="1" applyFill="1" applyBorder="1" applyAlignment="1">
      <alignment horizontal="left"/>
      <protection locked="0"/>
    </xf>
    <xf numFmtId="1" fontId="6" fillId="0" borderId="33" xfId="4" applyNumberFormat="1" applyFont="1" applyFill="1" applyBorder="1" applyAlignment="1" applyProtection="1">
      <alignment horizontal="left"/>
    </xf>
    <xf numFmtId="1" fontId="6" fillId="4" borderId="6" xfId="1" applyNumberFormat="1" applyFont="1" applyFill="1" applyBorder="1" applyAlignment="1">
      <alignment horizontal="left"/>
      <protection locked="0"/>
    </xf>
    <xf numFmtId="1" fontId="6" fillId="4" borderId="97" xfId="1" applyNumberFormat="1" applyFont="1" applyFill="1" applyBorder="1" applyAlignment="1">
      <alignment horizontal="left"/>
      <protection locked="0"/>
    </xf>
    <xf numFmtId="1" fontId="6" fillId="5" borderId="64" xfId="4" applyNumberFormat="1" applyFont="1" applyFill="1" applyBorder="1" applyAlignment="1" applyProtection="1">
      <alignment horizontal="left"/>
    </xf>
    <xf numFmtId="1" fontId="6" fillId="0" borderId="36" xfId="4" applyNumberFormat="1" applyFont="1" applyFill="1" applyBorder="1" applyAlignment="1" applyProtection="1">
      <alignment horizontal="left"/>
    </xf>
    <xf numFmtId="1" fontId="6" fillId="4" borderId="62" xfId="1" applyNumberFormat="1" applyFont="1" applyFill="1" applyBorder="1" applyAlignment="1">
      <alignment horizontal="left"/>
      <protection locked="0"/>
    </xf>
    <xf numFmtId="1" fontId="6" fillId="4" borderId="72" xfId="1" applyNumberFormat="1" applyFont="1" applyFill="1" applyBorder="1" applyAlignment="1">
      <alignment horizontal="left"/>
      <protection locked="0"/>
    </xf>
    <xf numFmtId="1" fontId="6" fillId="12" borderId="85" xfId="1" applyNumberFormat="1" applyFont="1" applyFill="1" applyBorder="1" applyAlignment="1" applyProtection="1">
      <alignment horizontal="left"/>
    </xf>
    <xf numFmtId="1" fontId="6" fillId="12" borderId="38" xfId="1" applyNumberFormat="1" applyFont="1" applyFill="1" applyBorder="1" applyAlignment="1" applyProtection="1">
      <alignment horizontal="left"/>
    </xf>
    <xf numFmtId="1" fontId="6" fillId="12" borderId="35" xfId="1" applyNumberFormat="1" applyFont="1" applyFill="1" applyBorder="1" applyAlignment="1" applyProtection="1">
      <alignment horizontal="left"/>
    </xf>
    <xf numFmtId="1" fontId="6" fillId="12" borderId="88" xfId="1" applyNumberFormat="1" applyFont="1" applyFill="1" applyBorder="1" applyAlignment="1" applyProtection="1">
      <alignment horizontal="left"/>
    </xf>
    <xf numFmtId="1" fontId="6" fillId="0" borderId="63" xfId="4" applyNumberFormat="1" applyFont="1" applyFill="1" applyBorder="1" applyAlignment="1" applyProtection="1">
      <alignment horizontal="left"/>
    </xf>
    <xf numFmtId="1" fontId="6" fillId="4" borderId="21" xfId="1" applyNumberFormat="1" applyFont="1" applyFill="1" applyBorder="1" applyAlignment="1">
      <alignment horizontal="left"/>
      <protection locked="0"/>
    </xf>
    <xf numFmtId="1" fontId="6" fillId="4" borderId="37" xfId="1" applyNumberFormat="1" applyFont="1" applyFill="1" applyBorder="1" applyAlignment="1">
      <alignment horizontal="left"/>
      <protection locked="0"/>
    </xf>
    <xf numFmtId="1" fontId="6" fillId="4" borderId="39" xfId="1" applyNumberFormat="1" applyFont="1" applyFill="1" applyBorder="1" applyAlignment="1">
      <alignment horizontal="left"/>
      <protection locked="0"/>
    </xf>
    <xf numFmtId="1" fontId="6" fillId="11" borderId="14" xfId="1" applyNumberFormat="1" applyFont="1" applyFill="1" applyBorder="1" applyAlignment="1">
      <alignment horizontal="left"/>
      <protection locked="0"/>
    </xf>
    <xf numFmtId="1" fontId="6" fillId="11" borderId="95" xfId="1" applyNumberFormat="1" applyFont="1" applyFill="1" applyBorder="1" applyAlignment="1">
      <alignment horizontal="left"/>
      <protection locked="0"/>
    </xf>
    <xf numFmtId="1" fontId="6" fillId="12" borderId="39" xfId="1" applyNumberFormat="1" applyFont="1" applyFill="1" applyBorder="1" applyAlignment="1" applyProtection="1">
      <alignment horizontal="left"/>
    </xf>
    <xf numFmtId="1" fontId="6" fillId="12" borderId="61" xfId="1" applyNumberFormat="1" applyFont="1" applyFill="1" applyBorder="1" applyAlignment="1" applyProtection="1">
      <alignment horizontal="left"/>
    </xf>
    <xf numFmtId="1" fontId="6" fillId="12" borderId="37" xfId="1" applyNumberFormat="1" applyFont="1" applyFill="1" applyBorder="1" applyAlignment="1" applyProtection="1">
      <alignment horizontal="left"/>
    </xf>
    <xf numFmtId="1" fontId="6" fillId="12" borderId="40" xfId="1" applyNumberFormat="1" applyFont="1" applyFill="1" applyBorder="1" applyAlignment="1" applyProtection="1">
      <alignment horizontal="left"/>
    </xf>
    <xf numFmtId="1" fontId="6" fillId="0" borderId="1" xfId="4" applyNumberFormat="1" applyFont="1" applyFill="1" applyBorder="1" applyAlignment="1" applyProtection="1">
      <alignment horizontal="left"/>
    </xf>
    <xf numFmtId="1" fontId="6" fillId="4" borderId="1" xfId="1" applyNumberFormat="1" applyFont="1" applyFill="1" applyBorder="1" applyAlignment="1">
      <alignment horizontal="left"/>
      <protection locked="0"/>
    </xf>
    <xf numFmtId="1" fontId="6" fillId="4" borderId="20" xfId="1" applyNumberFormat="1" applyFont="1" applyFill="1" applyBorder="1" applyAlignment="1">
      <alignment horizontal="left"/>
      <protection locked="0"/>
    </xf>
    <xf numFmtId="1" fontId="6" fillId="4" borderId="3" xfId="1" applyNumberFormat="1" applyFont="1" applyFill="1" applyBorder="1" applyAlignment="1">
      <alignment horizontal="left"/>
      <protection locked="0"/>
    </xf>
    <xf numFmtId="1" fontId="6" fillId="4" borderId="4" xfId="1" applyNumberFormat="1" applyFont="1" applyFill="1" applyBorder="1" applyAlignment="1">
      <alignment horizontal="left"/>
      <protection locked="0"/>
    </xf>
    <xf numFmtId="1" fontId="6" fillId="4" borderId="96" xfId="1" applyNumberFormat="1" applyFont="1" applyFill="1" applyBorder="1" applyAlignment="1">
      <alignment horizontal="left"/>
      <protection locked="0"/>
    </xf>
    <xf numFmtId="1" fontId="6" fillId="4" borderId="70" xfId="1" applyNumberFormat="1" applyFont="1" applyFill="1" applyBorder="1" applyAlignment="1">
      <alignment horizontal="left"/>
      <protection locked="0"/>
    </xf>
    <xf numFmtId="1" fontId="6" fillId="12" borderId="14" xfId="1" applyNumberFormat="1" applyFont="1" applyFill="1" applyBorder="1" applyAlignment="1">
      <alignment horizontal="left"/>
      <protection locked="0"/>
    </xf>
    <xf numFmtId="1" fontId="6" fillId="12" borderId="18" xfId="1" applyNumberFormat="1" applyFont="1" applyFill="1" applyBorder="1" applyAlignment="1">
      <alignment horizontal="left"/>
      <protection locked="0"/>
    </xf>
    <xf numFmtId="1" fontId="6" fillId="12" borderId="64" xfId="1" applyNumberFormat="1" applyFont="1" applyFill="1" applyBorder="1" applyAlignment="1">
      <alignment horizontal="left"/>
      <protection locked="0"/>
    </xf>
    <xf numFmtId="1" fontId="6" fillId="12" borderId="16" xfId="1" applyNumberFormat="1" applyFont="1" applyFill="1" applyBorder="1" applyAlignment="1">
      <alignment horizontal="left"/>
      <protection locked="0"/>
    </xf>
    <xf numFmtId="1" fontId="6" fillId="12" borderId="17" xfId="1" applyNumberFormat="1" applyFont="1" applyFill="1" applyBorder="1" applyAlignment="1">
      <alignment horizontal="left"/>
      <protection locked="0"/>
    </xf>
    <xf numFmtId="1" fontId="6" fillId="12" borderId="14" xfId="1" applyNumberFormat="1" applyFont="1" applyFill="1" applyBorder="1" applyAlignment="1" applyProtection="1">
      <alignment horizontal="left"/>
    </xf>
    <xf numFmtId="1" fontId="6" fillId="4" borderId="15" xfId="1" applyNumberFormat="1" applyFont="1" applyFill="1" applyBorder="1" applyAlignment="1">
      <alignment horizontal="left"/>
      <protection locked="0"/>
    </xf>
    <xf numFmtId="1" fontId="6" fillId="16" borderId="16" xfId="1" applyNumberFormat="1" applyFont="1" applyFill="1" applyBorder="1" applyAlignment="1">
      <alignment horizontal="left"/>
      <protection locked="0"/>
    </xf>
    <xf numFmtId="1" fontId="6" fillId="5" borderId="15" xfId="9" applyNumberFormat="1" applyFont="1" applyFill="1" applyBorder="1" applyAlignment="1">
      <alignment horizontal="left"/>
    </xf>
    <xf numFmtId="1" fontId="6" fillId="16" borderId="17" xfId="1" applyNumberFormat="1" applyFont="1" applyFill="1" applyBorder="1" applyAlignment="1">
      <alignment horizontal="left"/>
      <protection locked="0"/>
    </xf>
    <xf numFmtId="1" fontId="6" fillId="16" borderId="18" xfId="1" applyNumberFormat="1" applyFont="1" applyFill="1" applyBorder="1" applyAlignment="1">
      <alignment horizontal="left"/>
      <protection locked="0"/>
    </xf>
    <xf numFmtId="165" fontId="6" fillId="0" borderId="6" xfId="9" applyNumberFormat="1" applyFont="1" applyBorder="1" applyAlignment="1">
      <alignment horizontal="left"/>
    </xf>
    <xf numFmtId="169" fontId="6" fillId="5" borderId="12" xfId="1" applyNumberFormat="1" applyFont="1" applyFill="1" applyBorder="1" applyAlignment="1" applyProtection="1">
      <alignment horizontal="left"/>
    </xf>
    <xf numFmtId="169" fontId="6" fillId="5" borderId="15" xfId="9" applyNumberFormat="1" applyFont="1" applyFill="1" applyBorder="1" applyAlignment="1">
      <alignment horizontal="left"/>
    </xf>
    <xf numFmtId="165" fontId="6" fillId="13" borderId="64" xfId="1" applyNumberFormat="1" applyFont="1" applyFill="1" applyBorder="1" applyAlignment="1">
      <alignment horizontal="left"/>
      <protection locked="0"/>
    </xf>
    <xf numFmtId="165" fontId="6" fillId="13" borderId="16" xfId="1" applyNumberFormat="1" applyFont="1" applyFill="1" applyBorder="1" applyAlignment="1">
      <alignment horizontal="left"/>
      <protection locked="0"/>
    </xf>
    <xf numFmtId="165" fontId="6" fillId="13" borderId="17" xfId="1" applyNumberFormat="1" applyFont="1" applyFill="1" applyBorder="1" applyAlignment="1">
      <alignment horizontal="left"/>
      <protection locked="0"/>
    </xf>
    <xf numFmtId="165" fontId="6" fillId="13" borderId="18" xfId="1" applyNumberFormat="1" applyFont="1" applyFill="1" applyBorder="1" applyAlignment="1">
      <alignment horizontal="left"/>
      <protection locked="0"/>
    </xf>
    <xf numFmtId="4" fontId="6" fillId="0" borderId="6" xfId="9" applyNumberFormat="1" applyFont="1" applyBorder="1" applyAlignment="1">
      <alignment horizontal="left"/>
    </xf>
    <xf numFmtId="2" fontId="6" fillId="4" borderId="14" xfId="1" applyNumberFormat="1" applyFont="1" applyFill="1" applyBorder="1" applyAlignment="1">
      <alignment horizontal="left"/>
      <protection locked="0"/>
    </xf>
    <xf numFmtId="169" fontId="6" fillId="12" borderId="14" xfId="1" applyNumberFormat="1" applyFont="1" applyFill="1" applyBorder="1" applyAlignment="1" applyProtection="1">
      <alignment horizontal="left"/>
    </xf>
    <xf numFmtId="169" fontId="6" fillId="12" borderId="15" xfId="9" applyNumberFormat="1" applyFont="1" applyFill="1" applyBorder="1" applyAlignment="1">
      <alignment horizontal="left"/>
    </xf>
    <xf numFmtId="1" fontId="6" fillId="12" borderId="64" xfId="1" applyNumberFormat="1" applyFont="1" applyFill="1" applyBorder="1" applyAlignment="1" applyProtection="1">
      <alignment horizontal="left"/>
    </xf>
    <xf numFmtId="1" fontId="6" fillId="12" borderId="18" xfId="1" applyNumberFormat="1" applyFont="1" applyFill="1" applyBorder="1" applyAlignment="1" applyProtection="1">
      <alignment horizontal="left"/>
    </xf>
    <xf numFmtId="1" fontId="6" fillId="12" borderId="16" xfId="1" applyNumberFormat="1" applyFont="1" applyFill="1" applyBorder="1" applyAlignment="1" applyProtection="1">
      <alignment horizontal="left"/>
    </xf>
    <xf numFmtId="1" fontId="6" fillId="12" borderId="40" xfId="0" applyNumberFormat="1" applyFont="1" applyFill="1" applyBorder="1" applyAlignment="1">
      <alignment horizontal="left"/>
    </xf>
    <xf numFmtId="1" fontId="6" fillId="12" borderId="41" xfId="0" applyNumberFormat="1" applyFont="1" applyFill="1" applyBorder="1" applyAlignment="1">
      <alignment horizontal="left"/>
    </xf>
    <xf numFmtId="1" fontId="6" fillId="13" borderId="12" xfId="1" applyNumberFormat="1" applyFont="1" applyFill="1" applyBorder="1" applyAlignment="1">
      <alignment horizontal="left"/>
      <protection locked="0"/>
    </xf>
    <xf numFmtId="1" fontId="6" fillId="13" borderId="17" xfId="1" applyNumberFormat="1" applyFont="1" applyFill="1" applyBorder="1" applyAlignment="1">
      <alignment horizontal="left"/>
      <protection locked="0"/>
    </xf>
    <xf numFmtId="1" fontId="6" fillId="13" borderId="14" xfId="1" applyNumberFormat="1" applyFont="1" applyFill="1" applyBorder="1" applyAlignment="1">
      <alignment horizontal="left"/>
      <protection locked="0"/>
    </xf>
    <xf numFmtId="1" fontId="6" fillId="13" borderId="15" xfId="1" applyNumberFormat="1" applyFont="1" applyFill="1" applyBorder="1" applyAlignment="1">
      <alignment horizontal="left"/>
      <protection locked="0"/>
    </xf>
    <xf numFmtId="1" fontId="6" fillId="12" borderId="13" xfId="1" applyNumberFormat="1" applyFont="1" applyFill="1" applyBorder="1" applyAlignment="1">
      <alignment horizontal="left"/>
      <protection locked="0"/>
    </xf>
    <xf numFmtId="1" fontId="6" fillId="12" borderId="15" xfId="1" applyNumberFormat="1" applyFont="1" applyFill="1" applyBorder="1" applyAlignment="1">
      <alignment horizontal="left"/>
      <protection locked="0"/>
    </xf>
    <xf numFmtId="1" fontId="6" fillId="12" borderId="12" xfId="1" applyNumberFormat="1" applyFont="1" applyFill="1" applyBorder="1" applyAlignment="1">
      <alignment horizontal="left"/>
      <protection locked="0"/>
    </xf>
    <xf numFmtId="3" fontId="6" fillId="0" borderId="6" xfId="9" applyNumberFormat="1" applyFont="1" applyBorder="1" applyAlignment="1">
      <alignment horizontal="left"/>
    </xf>
    <xf numFmtId="170" fontId="6" fillId="12" borderId="15" xfId="1" applyNumberFormat="1" applyFont="1" applyFill="1" applyBorder="1" applyAlignment="1" applyProtection="1">
      <alignment horizontal="left"/>
    </xf>
    <xf numFmtId="1" fontId="6" fillId="5" borderId="64" xfId="1" applyNumberFormat="1" applyFont="1" applyFill="1" applyBorder="1" applyAlignment="1" applyProtection="1">
      <alignment horizontal="left"/>
    </xf>
    <xf numFmtId="1" fontId="6" fillId="5" borderId="18" xfId="1" applyNumberFormat="1" applyFont="1" applyFill="1" applyBorder="1" applyAlignment="1" applyProtection="1">
      <alignment horizontal="left"/>
    </xf>
    <xf numFmtId="1" fontId="6" fillId="5" borderId="16" xfId="1" applyNumberFormat="1" applyFont="1" applyFill="1" applyBorder="1" applyAlignment="1" applyProtection="1">
      <alignment horizontal="left"/>
    </xf>
    <xf numFmtId="1" fontId="6" fillId="5" borderId="17" xfId="1" applyNumberFormat="1" applyFont="1" applyFill="1" applyBorder="1" applyAlignment="1" applyProtection="1">
      <alignment horizontal="left"/>
    </xf>
    <xf numFmtId="165" fontId="6" fillId="12" borderId="15" xfId="1" applyNumberFormat="1" applyFont="1" applyFill="1" applyBorder="1" applyAlignment="1" applyProtection="1">
      <alignment horizontal="left"/>
    </xf>
    <xf numFmtId="1" fontId="6" fillId="12" borderId="17" xfId="1" applyNumberFormat="1" applyFont="1" applyFill="1" applyBorder="1" applyAlignment="1" applyProtection="1">
      <alignment horizontal="left"/>
    </xf>
    <xf numFmtId="169" fontId="6" fillId="12" borderId="15" xfId="1" applyNumberFormat="1" applyFont="1" applyFill="1" applyBorder="1" applyAlignment="1" applyProtection="1">
      <alignment horizontal="left"/>
    </xf>
    <xf numFmtId="169" fontId="6" fillId="5" borderId="15" xfId="1" applyNumberFormat="1" applyFont="1" applyFill="1" applyBorder="1" applyAlignment="1" applyProtection="1">
      <alignment horizontal="left"/>
    </xf>
    <xf numFmtId="2" fontId="6" fillId="14" borderId="6" xfId="9" applyNumberFormat="1" applyFont="1" applyFill="1" applyBorder="1" applyAlignment="1">
      <alignment horizontal="left"/>
    </xf>
    <xf numFmtId="1" fontId="6" fillId="12" borderId="15" xfId="9" applyNumberFormat="1" applyFont="1" applyFill="1" applyBorder="1" applyAlignment="1">
      <alignment horizontal="left"/>
    </xf>
    <xf numFmtId="1" fontId="6" fillId="5" borderId="86" xfId="1" applyNumberFormat="1" applyFont="1" applyFill="1" applyBorder="1" applyAlignment="1" applyProtection="1">
      <alignment horizontal="left"/>
    </xf>
    <xf numFmtId="3" fontId="6" fillId="14" borderId="69" xfId="9" applyNumberFormat="1" applyFont="1" applyFill="1" applyBorder="1" applyAlignment="1">
      <alignment horizontal="left"/>
    </xf>
    <xf numFmtId="1" fontId="6" fillId="12" borderId="72" xfId="1" applyNumberFormat="1" applyFont="1" applyFill="1" applyBorder="1" applyAlignment="1" applyProtection="1">
      <alignment horizontal="left"/>
    </xf>
    <xf numFmtId="1" fontId="6" fillId="12" borderId="76" xfId="9" applyNumberFormat="1" applyFont="1" applyFill="1" applyBorder="1" applyAlignment="1">
      <alignment horizontal="left"/>
    </xf>
    <xf numFmtId="1" fontId="6" fillId="5" borderId="56" xfId="1" applyNumberFormat="1" applyFont="1" applyFill="1" applyBorder="1" applyAlignment="1" applyProtection="1">
      <alignment horizontal="left"/>
    </xf>
    <xf numFmtId="1" fontId="6" fillId="5" borderId="25" xfId="1" applyNumberFormat="1" applyFont="1" applyFill="1" applyBorder="1" applyAlignment="1" applyProtection="1">
      <alignment horizontal="left"/>
    </xf>
    <xf numFmtId="1" fontId="6" fillId="5" borderId="62" xfId="1" applyNumberFormat="1" applyFont="1" applyFill="1" applyBorder="1" applyAlignment="1" applyProtection="1">
      <alignment horizontal="left"/>
    </xf>
    <xf numFmtId="1" fontId="6" fillId="5" borderId="24" xfId="1" applyNumberFormat="1" applyFont="1" applyFill="1" applyBorder="1" applyAlignment="1" applyProtection="1">
      <alignment horizontal="left"/>
    </xf>
    <xf numFmtId="2" fontId="6" fillId="0" borderId="32" xfId="9" applyNumberFormat="1" applyFont="1" applyBorder="1" applyAlignment="1">
      <alignment horizontal="left"/>
    </xf>
    <xf numFmtId="2" fontId="6" fillId="16" borderId="14" xfId="1" applyNumberFormat="1" applyFont="1" applyFill="1" applyBorder="1" applyAlignment="1">
      <alignment horizontal="left"/>
      <protection locked="0"/>
    </xf>
    <xf numFmtId="1" fontId="6" fillId="5" borderId="31" xfId="1" applyNumberFormat="1" applyFont="1" applyFill="1" applyBorder="1" applyAlignment="1" applyProtection="1">
      <alignment horizontal="left"/>
    </xf>
    <xf numFmtId="1" fontId="6" fillId="5" borderId="10" xfId="1" applyNumberFormat="1" applyFont="1" applyFill="1" applyBorder="1" applyAlignment="1" applyProtection="1">
      <alignment horizontal="left"/>
    </xf>
    <xf numFmtId="1" fontId="6" fillId="5" borderId="7" xfId="1" applyNumberFormat="1" applyFont="1" applyFill="1" applyBorder="1" applyAlignment="1" applyProtection="1">
      <alignment horizontal="left"/>
    </xf>
    <xf numFmtId="1" fontId="6" fillId="5" borderId="9" xfId="1" applyNumberFormat="1" applyFont="1" applyFill="1" applyBorder="1" applyAlignment="1" applyProtection="1">
      <alignment horizontal="left"/>
    </xf>
    <xf numFmtId="2" fontId="6" fillId="0" borderId="63" xfId="9" applyNumberFormat="1" applyFont="1" applyBorder="1" applyAlignment="1">
      <alignment horizontal="left"/>
    </xf>
    <xf numFmtId="2" fontId="6" fillId="4" borderId="72" xfId="1" applyNumberFormat="1" applyFont="1" applyFill="1" applyBorder="1" applyAlignment="1">
      <alignment horizontal="left"/>
      <protection locked="0"/>
    </xf>
    <xf numFmtId="2" fontId="6" fillId="16" borderId="72" xfId="1" applyNumberFormat="1" applyFont="1" applyFill="1" applyBorder="1" applyAlignment="1">
      <alignment horizontal="left"/>
      <protection locked="0"/>
    </xf>
    <xf numFmtId="1" fontId="6" fillId="5" borderId="90" xfId="1" applyNumberFormat="1" applyFont="1" applyFill="1" applyBorder="1" applyAlignment="1" applyProtection="1">
      <alignment horizontal="left"/>
    </xf>
    <xf numFmtId="1" fontId="6" fillId="5" borderId="89" xfId="1" applyNumberFormat="1" applyFont="1" applyFill="1" applyBorder="1" applyAlignment="1" applyProtection="1">
      <alignment horizontal="left"/>
    </xf>
    <xf numFmtId="1" fontId="6" fillId="5" borderId="35" xfId="1" applyNumberFormat="1" applyFont="1" applyFill="1" applyBorder="1" applyAlignment="1" applyProtection="1">
      <alignment horizontal="left"/>
    </xf>
    <xf numFmtId="1" fontId="6" fillId="5" borderId="88" xfId="1" applyNumberFormat="1" applyFont="1" applyFill="1" applyBorder="1" applyAlignment="1" applyProtection="1">
      <alignment horizontal="left"/>
    </xf>
    <xf numFmtId="1" fontId="6" fillId="0" borderId="31" xfId="4" applyNumberFormat="1" applyFont="1" applyFill="1" applyBorder="1" applyAlignment="1" applyProtection="1">
      <alignment horizontal="left"/>
    </xf>
    <xf numFmtId="1" fontId="6" fillId="4" borderId="7" xfId="4" applyNumberFormat="1" applyFont="1" applyFill="1" applyBorder="1" applyAlignment="1" applyProtection="1">
      <alignment horizontal="left"/>
      <protection locked="0"/>
    </xf>
    <xf numFmtId="1" fontId="6" fillId="4" borderId="8" xfId="4" applyNumberFormat="1" applyFont="1" applyFill="1" applyBorder="1" applyAlignment="1" applyProtection="1">
      <alignment horizontal="left"/>
      <protection locked="0"/>
    </xf>
    <xf numFmtId="1" fontId="6" fillId="4" borderId="9" xfId="4" applyNumberFormat="1" applyFont="1" applyFill="1" applyBorder="1" applyAlignment="1" applyProtection="1">
      <alignment horizontal="left"/>
      <protection locked="0"/>
    </xf>
    <xf numFmtId="1" fontId="6" fillId="4" borderId="10" xfId="4" applyNumberFormat="1" applyFont="1" applyFill="1" applyBorder="1" applyAlignment="1" applyProtection="1">
      <alignment horizontal="left"/>
      <protection locked="0"/>
    </xf>
    <xf numFmtId="1" fontId="6" fillId="5" borderId="10" xfId="4" applyNumberFormat="1" applyFont="1" applyFill="1" applyBorder="1" applyAlignment="1" applyProtection="1">
      <alignment horizontal="left"/>
    </xf>
    <xf numFmtId="1" fontId="6" fillId="4" borderId="60" xfId="4" applyNumberFormat="1" applyFont="1" applyFill="1" applyBorder="1" applyAlignment="1" applyProtection="1">
      <alignment horizontal="left"/>
      <protection locked="0"/>
    </xf>
    <xf numFmtId="1" fontId="6" fillId="0" borderId="11" xfId="4" applyNumberFormat="1" applyFont="1" applyFill="1" applyBorder="1" applyAlignment="1" applyProtection="1">
      <alignment horizontal="left"/>
    </xf>
    <xf numFmtId="1" fontId="6" fillId="4" borderId="16" xfId="4" applyNumberFormat="1" applyFont="1" applyFill="1" applyBorder="1" applyAlignment="1" applyProtection="1">
      <alignment horizontal="left"/>
      <protection locked="0"/>
    </xf>
    <xf numFmtId="1" fontId="6" fillId="4" borderId="64" xfId="4" applyNumberFormat="1" applyFont="1" applyFill="1" applyBorder="1" applyAlignment="1" applyProtection="1">
      <alignment horizontal="left"/>
      <protection locked="0"/>
    </xf>
    <xf numFmtId="1" fontId="6" fillId="4" borderId="17" xfId="4" applyNumberFormat="1" applyFont="1" applyFill="1" applyBorder="1" applyAlignment="1" applyProtection="1">
      <alignment horizontal="left"/>
      <protection locked="0"/>
    </xf>
    <xf numFmtId="1" fontId="6" fillId="4" borderId="18" xfId="4" applyNumberFormat="1" applyFont="1" applyFill="1" applyBorder="1" applyAlignment="1" applyProtection="1">
      <alignment horizontal="left"/>
      <protection locked="0"/>
    </xf>
    <xf numFmtId="1" fontId="6" fillId="5" borderId="16" xfId="4" applyNumberFormat="1" applyFont="1" applyFill="1" applyBorder="1" applyAlignment="1" applyProtection="1">
      <alignment horizontal="left"/>
    </xf>
    <xf numFmtId="1" fontId="6" fillId="4" borderId="34" xfId="4" applyNumberFormat="1" applyFont="1" applyFill="1" applyBorder="1" applyAlignment="1" applyProtection="1">
      <alignment horizontal="left"/>
      <protection locked="0"/>
    </xf>
    <xf numFmtId="1" fontId="6" fillId="5" borderId="18" xfId="9" applyNumberFormat="1" applyFont="1" applyFill="1" applyBorder="1" applyAlignment="1">
      <alignment horizontal="left"/>
    </xf>
    <xf numFmtId="1" fontId="6" fillId="5" borderId="18" xfId="4" applyNumberFormat="1" applyFont="1" applyFill="1" applyBorder="1" applyAlignment="1" applyProtection="1">
      <alignment horizontal="left"/>
    </xf>
    <xf numFmtId="1" fontId="6" fillId="5" borderId="17" xfId="4" applyNumberFormat="1" applyFont="1" applyFill="1" applyBorder="1" applyAlignment="1" applyProtection="1">
      <alignment horizontal="left"/>
    </xf>
    <xf numFmtId="1" fontId="6" fillId="5" borderId="34" xfId="4" applyNumberFormat="1" applyFont="1" applyFill="1" applyBorder="1" applyAlignment="1" applyProtection="1">
      <alignment horizontal="left"/>
    </xf>
    <xf numFmtId="1" fontId="6" fillId="0" borderId="42" xfId="4" applyNumberFormat="1" applyFont="1" applyFill="1" applyBorder="1" applyAlignment="1" applyProtection="1">
      <alignment horizontal="left"/>
    </xf>
    <xf numFmtId="1" fontId="6" fillId="4" borderId="22" xfId="4" applyNumberFormat="1" applyFont="1" applyFill="1" applyBorder="1" applyAlignment="1" applyProtection="1">
      <alignment horizontal="left"/>
      <protection locked="0"/>
    </xf>
    <xf numFmtId="1" fontId="6" fillId="4" borderId="23" xfId="4" applyNumberFormat="1" applyFont="1" applyFill="1" applyBorder="1" applyAlignment="1" applyProtection="1">
      <alignment horizontal="left"/>
      <protection locked="0"/>
    </xf>
    <xf numFmtId="1" fontId="6" fillId="4" borderId="24" xfId="4" applyNumberFormat="1" applyFont="1" applyFill="1" applyBorder="1" applyAlignment="1" applyProtection="1">
      <alignment horizontal="left"/>
      <protection locked="0"/>
    </xf>
    <xf numFmtId="1" fontId="6" fillId="11" borderId="25" xfId="1" applyNumberFormat="1" applyFont="1" applyFill="1" applyBorder="1" applyAlignment="1">
      <alignment horizontal="left"/>
      <protection locked="0"/>
    </xf>
    <xf numFmtId="1" fontId="6" fillId="5" borderId="22" xfId="4" applyNumberFormat="1" applyFont="1" applyFill="1" applyBorder="1" applyAlignment="1" applyProtection="1">
      <alignment horizontal="left"/>
    </xf>
    <xf numFmtId="1" fontId="6" fillId="5" borderId="61" xfId="4" applyNumberFormat="1" applyFont="1" applyFill="1" applyBorder="1" applyAlignment="1" applyProtection="1">
      <alignment horizontal="left"/>
    </xf>
    <xf numFmtId="1" fontId="6" fillId="5" borderId="23" xfId="4" applyNumberFormat="1" applyFont="1" applyFill="1" applyBorder="1" applyAlignment="1" applyProtection="1">
      <alignment horizontal="left"/>
    </xf>
    <xf numFmtId="1" fontId="6" fillId="5" borderId="24" xfId="4" applyNumberFormat="1" applyFont="1" applyFill="1" applyBorder="1" applyAlignment="1" applyProtection="1">
      <alignment horizontal="left"/>
    </xf>
    <xf numFmtId="1" fontId="6" fillId="5" borderId="43" xfId="4" applyNumberFormat="1" applyFont="1" applyFill="1" applyBorder="1" applyAlignment="1" applyProtection="1">
      <alignment horizontal="left"/>
    </xf>
    <xf numFmtId="1" fontId="6" fillId="4" borderId="42" xfId="4" applyNumberFormat="1" applyFont="1" applyFill="1" applyBorder="1" applyAlignment="1" applyProtection="1">
      <alignment horizontal="left"/>
      <protection locked="0"/>
    </xf>
    <xf numFmtId="1" fontId="6" fillId="4" borderId="40" xfId="4" applyNumberFormat="1" applyFont="1" applyFill="1" applyBorder="1" applyAlignment="1" applyProtection="1">
      <alignment horizontal="left"/>
      <protection locked="0"/>
    </xf>
    <xf numFmtId="1" fontId="6" fillId="4" borderId="59" xfId="4" applyNumberFormat="1" applyFont="1" applyFill="1" applyBorder="1" applyAlignment="1" applyProtection="1">
      <alignment horizontal="left"/>
      <protection locked="0"/>
    </xf>
    <xf numFmtId="1" fontId="6" fillId="13" borderId="40" xfId="4" applyNumberFormat="1" applyFont="1" applyFill="1" applyBorder="1" applyAlignment="1" applyProtection="1">
      <alignment horizontal="left"/>
      <protection locked="0"/>
    </xf>
    <xf numFmtId="1" fontId="6" fillId="13" borderId="41" xfId="4" applyNumberFormat="1" applyFont="1" applyFill="1" applyBorder="1" applyAlignment="1" applyProtection="1">
      <alignment horizontal="left"/>
      <protection locked="0"/>
    </xf>
    <xf numFmtId="1" fontId="6" fillId="13" borderId="37" xfId="4" applyNumberFormat="1" applyFont="1" applyFill="1" applyBorder="1" applyAlignment="1" applyProtection="1">
      <alignment horizontal="left"/>
      <protection locked="0"/>
    </xf>
    <xf numFmtId="1" fontId="6" fillId="13" borderId="59" xfId="4" applyNumberFormat="1" applyFont="1" applyFill="1" applyBorder="1" applyAlignment="1" applyProtection="1">
      <alignment horizontal="left"/>
      <protection locked="0"/>
    </xf>
    <xf numFmtId="1" fontId="6" fillId="13" borderId="4" xfId="4" applyNumberFormat="1" applyFont="1" applyFill="1" applyBorder="1" applyAlignment="1" applyProtection="1">
      <alignment horizontal="left"/>
      <protection locked="0"/>
    </xf>
    <xf numFmtId="1" fontId="6" fillId="13" borderId="43" xfId="4" applyNumberFormat="1" applyFont="1" applyFill="1" applyBorder="1" applyAlignment="1" applyProtection="1">
      <alignment horizontal="left"/>
      <protection locked="0"/>
    </xf>
    <xf numFmtId="0" fontId="35" fillId="0" borderId="66" xfId="10" applyFont="1" applyBorder="1" applyAlignment="1">
      <alignment horizontal="center" vertical="center"/>
    </xf>
    <xf numFmtId="0" fontId="6" fillId="20" borderId="0" xfId="10" applyFont="1" applyFill="1"/>
    <xf numFmtId="49" fontId="35" fillId="0" borderId="66" xfId="10" applyNumberFormat="1" applyFont="1" applyBorder="1" applyAlignment="1">
      <alignment horizontal="center" vertical="center"/>
    </xf>
  </cellXfs>
  <cellStyles count="14">
    <cellStyle name="Escribir" xfId="1" xr:uid="{00000000-0005-0000-0000-000000000000}"/>
    <cellStyle name="Escribir 2" xfId="2" xr:uid="{00000000-0005-0000-0000-000001000000}"/>
    <cellStyle name="Euro" xfId="3" xr:uid="{00000000-0005-0000-0000-000002000000}"/>
    <cellStyle name="Millares" xfId="4" builtinId="3"/>
    <cellStyle name="Normal" xfId="0" builtinId="0"/>
    <cellStyle name="Normal 2" xfId="5" xr:uid="{00000000-0005-0000-0000-000005000000}"/>
    <cellStyle name="Normal 2 2" xfId="13" xr:uid="{D5F653F2-EC4E-4B4B-9461-CF884E9FC275}"/>
    <cellStyle name="Normal 2 3" xfId="6" xr:uid="{00000000-0005-0000-0000-000006000000}"/>
    <cellStyle name="Normal_nombre" xfId="7" xr:uid="{00000000-0005-0000-0000-000007000000}"/>
    <cellStyle name="Normal_REM 05-2002" xfId="8" xr:uid="{00000000-0005-0000-0000-000008000000}"/>
    <cellStyle name="Normal_REM 15-2002" xfId="9" xr:uid="{00000000-0005-0000-0000-000009000000}"/>
    <cellStyle name="Normal_REM 16-2002" xfId="10" xr:uid="{00000000-0005-0000-0000-00000A000000}"/>
    <cellStyle name="Normal_RMC_0" xfId="11" xr:uid="{00000000-0005-0000-0000-00000B000000}"/>
    <cellStyle name="Porcentaje" xfId="1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FDFC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99"/>
      <color rgb="FFFFFFCC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6</xdr:row>
          <xdr:rowOff>68580</xdr:rowOff>
        </xdr:from>
        <xdr:to>
          <xdr:col>7</xdr:col>
          <xdr:colOff>480060</xdr:colOff>
          <xdr:row>6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9"/>
  <sheetViews>
    <sheetView showGridLines="0" tabSelected="1" zoomScaleNormal="100" workbookViewId="0">
      <selection sqref="A1:B1"/>
    </sheetView>
  </sheetViews>
  <sheetFormatPr baseColWidth="10" defaultColWidth="11.44140625" defaultRowHeight="12" customHeight="1" x14ac:dyDescent="0.2"/>
  <cols>
    <col min="1" max="1" width="50" style="21" customWidth="1"/>
    <col min="2" max="2" width="60.33203125" style="1" customWidth="1"/>
    <col min="3" max="8" width="5.33203125" style="1" customWidth="1"/>
    <col min="9" max="9" width="7.33203125" style="1" customWidth="1"/>
    <col min="10" max="10" width="4.33203125" style="1" customWidth="1"/>
    <col min="11" max="11" width="5.44140625" style="1" customWidth="1"/>
    <col min="12" max="12" width="7" style="1" customWidth="1"/>
    <col min="13" max="13" width="9.44140625" style="1" customWidth="1"/>
    <col min="14" max="24" width="19.33203125" style="1" customWidth="1"/>
    <col min="25" max="25" width="19.33203125" style="1" hidden="1" customWidth="1"/>
    <col min="26" max="27" width="12" style="1" hidden="1" customWidth="1"/>
    <col min="28" max="28" width="48.44140625" style="1" hidden="1" customWidth="1"/>
    <col min="29" max="29" width="27.6640625" style="1" hidden="1" customWidth="1"/>
    <col min="30" max="30" width="35.5546875" style="1" hidden="1" customWidth="1"/>
    <col min="31" max="34" width="12" style="1" hidden="1" customWidth="1"/>
    <col min="35" max="36" width="12" style="1" customWidth="1"/>
    <col min="37" max="37" width="11.88671875" style="1" customWidth="1"/>
    <col min="38" max="16384" width="11.44140625" style="1"/>
  </cols>
  <sheetData>
    <row r="1" spans="1:33" ht="51" customHeight="1" x14ac:dyDescent="0.25">
      <c r="A1" s="341" t="s">
        <v>0</v>
      </c>
      <c r="B1" s="342"/>
      <c r="C1" s="343" t="s">
        <v>1</v>
      </c>
      <c r="D1" s="344"/>
      <c r="E1" s="344"/>
      <c r="F1" s="344"/>
      <c r="G1" s="345"/>
      <c r="H1" s="8"/>
    </row>
    <row r="2" spans="1:33" ht="18" customHeight="1" x14ac:dyDescent="0.25">
      <c r="A2" s="2" t="s">
        <v>2</v>
      </c>
      <c r="B2" s="73"/>
      <c r="C2" s="3"/>
      <c r="D2" s="4"/>
      <c r="E2" s="4"/>
      <c r="F2" s="4"/>
      <c r="G2" s="5"/>
      <c r="H2" s="74"/>
      <c r="I2" s="75" t="str">
        <f>IF(OR(NOMBRE!C2="",NOMBRE!E2="",NOMBRE!D2="",NOMBRE!E2="",NOMBRE!F2="",NOMBRE!G2=""),"Falta Cód. Com.","")</f>
        <v>Falta Cód. Com.</v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D2" s="6"/>
      <c r="AG2" s="7">
        <f>IF(I2&gt;"",1,0)</f>
        <v>1</v>
      </c>
    </row>
    <row r="3" spans="1:33" ht="18" customHeight="1" x14ac:dyDescent="0.25">
      <c r="A3" s="230" t="s">
        <v>3</v>
      </c>
      <c r="B3" s="73"/>
      <c r="C3" s="3"/>
      <c r="D3" s="4"/>
      <c r="E3" s="4"/>
      <c r="F3" s="4"/>
      <c r="G3" s="4"/>
      <c r="H3" s="5"/>
      <c r="I3" s="76" t="str">
        <f>IF(OR(NOMBRE!C3="",NOMBRE!D3="",NOMBRE!E3="",NOMBRE!F3="",NOMBRE!G3="",NOMBRE!H3=""),"Falta Cód. Estab.","")</f>
        <v>Falta Cód. Estab.</v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D3" s="6"/>
      <c r="AG3" s="7">
        <f>IF(I3&gt;"",1,0)</f>
        <v>1</v>
      </c>
    </row>
    <row r="4" spans="1:33" s="229" customFormat="1" ht="10.5" customHeight="1" x14ac:dyDescent="0.25">
      <c r="A4" s="224"/>
      <c r="B4" s="228"/>
      <c r="C4" s="223"/>
      <c r="D4" s="223"/>
      <c r="E4" s="223"/>
      <c r="F4" s="223"/>
      <c r="G4" s="223"/>
      <c r="H4" s="223"/>
      <c r="I4" s="75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D4" s="6"/>
    </row>
    <row r="5" spans="1:33" s="229" customFormat="1" ht="10.5" customHeight="1" x14ac:dyDescent="0.25">
      <c r="A5" s="231"/>
      <c r="B5" s="232"/>
      <c r="C5" s="233"/>
      <c r="D5" s="233"/>
      <c r="E5" s="223"/>
      <c r="F5" s="223"/>
      <c r="G5" s="223"/>
      <c r="H5" s="223"/>
      <c r="I5" s="75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D5" s="6"/>
    </row>
    <row r="6" spans="1:33" ht="18" customHeight="1" x14ac:dyDescent="0.25">
      <c r="A6" s="224" t="s">
        <v>4</v>
      </c>
      <c r="B6" s="225"/>
      <c r="C6" s="226"/>
      <c r="D6" s="227"/>
      <c r="E6" s="10"/>
      <c r="F6" s="10"/>
      <c r="G6" s="10"/>
      <c r="H6" s="10"/>
      <c r="I6" s="75" t="str">
        <f>IF(OR(NOMBRE!C6="",NOMBRE!D6=""),"Falta el Mes","")</f>
        <v>Falta el Mes</v>
      </c>
      <c r="J6" s="9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D6" s="6"/>
      <c r="AG6" s="7">
        <f>IF(I6&gt;"",1,0)</f>
        <v>1</v>
      </c>
    </row>
    <row r="7" spans="1:33" ht="18" customHeight="1" x14ac:dyDescent="0.25">
      <c r="A7" s="2" t="s">
        <v>6</v>
      </c>
      <c r="B7" s="12">
        <v>2025</v>
      </c>
      <c r="AG7" s="13">
        <f>SUM(AG2:AG6)</f>
        <v>3</v>
      </c>
    </row>
    <row r="8" spans="1:33" ht="12" customHeight="1" x14ac:dyDescent="0.2">
      <c r="A8" s="14"/>
      <c r="B8" s="15"/>
    </row>
    <row r="9" spans="1:33" ht="27.75" customHeight="1" x14ac:dyDescent="0.2">
      <c r="A9" s="346" t="s">
        <v>7</v>
      </c>
      <c r="B9" s="347"/>
    </row>
    <row r="10" spans="1:33" ht="12" customHeight="1" x14ac:dyDescent="0.2">
      <c r="A10" s="16"/>
      <c r="B10" s="17"/>
    </row>
    <row r="11" spans="1:33" ht="30" customHeight="1" x14ac:dyDescent="0.2">
      <c r="A11" s="80" t="s">
        <v>8</v>
      </c>
      <c r="B11" s="18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81" t="s">
        <v>5</v>
      </c>
      <c r="AB11" s="81" t="s">
        <v>9</v>
      </c>
      <c r="AC11" s="81" t="s">
        <v>10</v>
      </c>
    </row>
    <row r="12" spans="1:33" ht="27.75" customHeight="1" x14ac:dyDescent="0.3">
      <c r="A12" s="82" t="s">
        <v>11</v>
      </c>
      <c r="B12" s="18"/>
      <c r="K12" s="83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81" t="s">
        <v>12</v>
      </c>
      <c r="AB12" s="81" t="s">
        <v>13</v>
      </c>
      <c r="AC12" s="81" t="s">
        <v>14</v>
      </c>
    </row>
    <row r="13" spans="1:33" ht="21" customHeight="1" x14ac:dyDescent="0.3">
      <c r="A13"/>
      <c r="B13" s="84"/>
      <c r="K13" s="83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81" t="s">
        <v>15</v>
      </c>
      <c r="AB13" s="81" t="s">
        <v>16</v>
      </c>
      <c r="AC13" s="81" t="s">
        <v>17</v>
      </c>
    </row>
    <row r="14" spans="1:33" ht="21" customHeight="1" x14ac:dyDescent="0.3">
      <c r="K14" s="83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81" t="s">
        <v>18</v>
      </c>
      <c r="AB14" s="81" t="s">
        <v>19</v>
      </c>
    </row>
    <row r="15" spans="1:33" ht="21" customHeight="1" x14ac:dyDescent="0.3">
      <c r="A15" s="348" t="s">
        <v>20</v>
      </c>
      <c r="B15" s="349"/>
      <c r="K15" s="83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81" t="s">
        <v>21</v>
      </c>
      <c r="AB15" s="81" t="s">
        <v>22</v>
      </c>
    </row>
    <row r="16" spans="1:33" ht="21" customHeight="1" x14ac:dyDescent="0.3">
      <c r="K16" s="83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81" t="s">
        <v>23</v>
      </c>
      <c r="AB16" s="81" t="s">
        <v>24</v>
      </c>
    </row>
    <row r="17" spans="2:29" ht="21" customHeight="1" x14ac:dyDescent="0.2">
      <c r="B17" s="338" t="s">
        <v>25</v>
      </c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81" t="s">
        <v>26</v>
      </c>
      <c r="AB17" s="81" t="s">
        <v>27</v>
      </c>
    </row>
    <row r="18" spans="2:29" ht="21" customHeight="1" x14ac:dyDescent="0.2">
      <c r="B18" s="339"/>
      <c r="I18" s="22"/>
      <c r="J18" s="22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81" t="s">
        <v>28</v>
      </c>
      <c r="AB18" s="81" t="s">
        <v>29</v>
      </c>
    </row>
    <row r="19" spans="2:29" ht="21" customHeight="1" x14ac:dyDescent="0.2">
      <c r="B19" s="340"/>
      <c r="I19" s="22"/>
      <c r="J19" s="22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81" t="s">
        <v>30</v>
      </c>
      <c r="AB19" s="81" t="s">
        <v>31</v>
      </c>
    </row>
    <row r="20" spans="2:29" ht="21" customHeight="1" x14ac:dyDescent="0.2">
      <c r="I20" s="22"/>
      <c r="J20" s="22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81" t="s">
        <v>32</v>
      </c>
      <c r="AB20" s="81" t="s">
        <v>33</v>
      </c>
    </row>
    <row r="21" spans="2:29" ht="21" customHeight="1" x14ac:dyDescent="0.2">
      <c r="I21" s="22"/>
      <c r="J21" s="22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81" t="s">
        <v>34</v>
      </c>
      <c r="AB21" s="81" t="s">
        <v>35</v>
      </c>
    </row>
    <row r="22" spans="2:29" ht="21" customHeight="1" x14ac:dyDescent="0.2">
      <c r="I22" s="22"/>
      <c r="J22" s="22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81" t="s">
        <v>36</v>
      </c>
      <c r="AB22" s="81" t="s">
        <v>37</v>
      </c>
    </row>
    <row r="23" spans="2:29" ht="17.25" customHeight="1" x14ac:dyDescent="0.2">
      <c r="I23" s="22"/>
      <c r="J23" s="22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B23" s="81" t="s">
        <v>38</v>
      </c>
    </row>
    <row r="24" spans="2:29" ht="18.75" customHeight="1" x14ac:dyDescent="0.2">
      <c r="I24" s="22"/>
      <c r="J24" s="22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B24" s="81" t="s">
        <v>39</v>
      </c>
    </row>
    <row r="25" spans="2:29" ht="18" customHeight="1" x14ac:dyDescent="0.2">
      <c r="I25" s="22"/>
      <c r="J25" s="22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B25" s="81" t="s">
        <v>40</v>
      </c>
    </row>
    <row r="26" spans="2:29" ht="19.5" customHeight="1" x14ac:dyDescent="0.2"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B26" s="81" t="s">
        <v>41</v>
      </c>
    </row>
    <row r="27" spans="2:29" ht="19.5" customHeight="1" x14ac:dyDescent="0.2"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B27" s="81" t="s">
        <v>42</v>
      </c>
    </row>
    <row r="28" spans="2:29" ht="18.75" customHeight="1" x14ac:dyDescent="0.2"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B28" s="81" t="s">
        <v>43</v>
      </c>
    </row>
    <row r="29" spans="2:29" ht="18.75" customHeight="1" x14ac:dyDescent="0.25"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/>
      <c r="AB29" s="81" t="s">
        <v>44</v>
      </c>
      <c r="AC29"/>
    </row>
    <row r="30" spans="2:29" ht="18.75" customHeight="1" x14ac:dyDescent="0.25"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/>
      <c r="AB30" s="81" t="s">
        <v>45</v>
      </c>
      <c r="AC30"/>
    </row>
    <row r="31" spans="2:29" ht="12" customHeight="1" x14ac:dyDescent="0.25"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/>
      <c r="AB31" s="81" t="s">
        <v>46</v>
      </c>
      <c r="AC31"/>
    </row>
    <row r="32" spans="2:29" ht="12" customHeight="1" x14ac:dyDescent="0.2"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B32" s="81" t="s">
        <v>47</v>
      </c>
      <c r="AC32" s="85"/>
    </row>
    <row r="33" spans="14:29" ht="12" customHeight="1" x14ac:dyDescent="0.2"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B33" s="81" t="s">
        <v>48</v>
      </c>
    </row>
    <row r="34" spans="14:29" ht="12" customHeight="1" x14ac:dyDescent="0.2"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B34" s="81" t="s">
        <v>49</v>
      </c>
      <c r="AC34" s="85"/>
    </row>
    <row r="35" spans="14:29" ht="12" customHeight="1" x14ac:dyDescent="0.2">
      <c r="AB35" s="81" t="s">
        <v>50</v>
      </c>
      <c r="AC35" s="85"/>
    </row>
    <row r="36" spans="14:29" ht="12" customHeight="1" x14ac:dyDescent="0.2">
      <c r="AB36" s="81" t="s">
        <v>51</v>
      </c>
      <c r="AC36" s="85"/>
    </row>
    <row r="37" spans="14:29" ht="12" customHeight="1" x14ac:dyDescent="0.2">
      <c r="AB37" s="81" t="s">
        <v>52</v>
      </c>
    </row>
    <row r="38" spans="14:29" ht="12" customHeight="1" x14ac:dyDescent="0.2">
      <c r="AB38" s="81" t="s">
        <v>53</v>
      </c>
    </row>
    <row r="39" spans="14:29" ht="12" customHeight="1" x14ac:dyDescent="0.2">
      <c r="AB39" s="81" t="s">
        <v>54</v>
      </c>
    </row>
    <row r="40" spans="14:29" ht="12" customHeight="1" x14ac:dyDescent="0.2">
      <c r="AB40" s="81" t="s">
        <v>55</v>
      </c>
    </row>
    <row r="41" spans="14:29" ht="12" customHeight="1" x14ac:dyDescent="0.2">
      <c r="AB41" s="81" t="s">
        <v>56</v>
      </c>
    </row>
    <row r="42" spans="14:29" ht="12" customHeight="1" x14ac:dyDescent="0.2">
      <c r="AB42" s="81" t="s">
        <v>57</v>
      </c>
    </row>
    <row r="43" spans="14:29" ht="12" customHeight="1" x14ac:dyDescent="0.2">
      <c r="AB43" s="81"/>
    </row>
    <row r="44" spans="14:29" ht="12" customHeight="1" x14ac:dyDescent="0.2">
      <c r="AB44" s="81"/>
    </row>
    <row r="45" spans="14:29" ht="12" customHeight="1" x14ac:dyDescent="0.2">
      <c r="AB45" s="81"/>
    </row>
    <row r="46" spans="14:29" ht="12" customHeight="1" x14ac:dyDescent="0.2">
      <c r="AB46" s="81"/>
    </row>
    <row r="47" spans="14:29" ht="12" customHeight="1" x14ac:dyDescent="0.2">
      <c r="AB47" s="81"/>
    </row>
    <row r="48" spans="14:29" ht="12" customHeight="1" x14ac:dyDescent="0.2">
      <c r="AB48" s="81"/>
    </row>
    <row r="49" spans="28:28" ht="12" customHeight="1" x14ac:dyDescent="0.2">
      <c r="AB49" s="81"/>
    </row>
  </sheetData>
  <mergeCells count="5">
    <mergeCell ref="B17:B19"/>
    <mergeCell ref="A1:B1"/>
    <mergeCell ref="C1:G1"/>
    <mergeCell ref="A9:B9"/>
    <mergeCell ref="A15:B15"/>
  </mergeCells>
  <phoneticPr fontId="25" type="noConversion"/>
  <dataValidations count="16">
    <dataValidation type="whole" allowBlank="1" showInputMessage="1" showErrorMessage="1" promptTitle="DIGITO ESTABLECIMIENTO:" prompt="Tercer: Entre 0 y 9" sqref="H1" xr:uid="{00000000-0002-0000-0000-000000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error="DIGITE EL CODIGO DEL MES CORRESPONDIENTE AL SELECCIONADO EN LA LISTA._x000a__x000a_EQUIPO REM-DEIS" promptTitle="DIGITO MES:" prompt="Primero: Entre 0 y 1" sqref="C6" xr:uid="{00000000-0002-0000-0000-00000C000000}">
      <formula1>0</formula1>
      <formula2>1</formula2>
    </dataValidation>
    <dataValidation type="whole" allowBlank="1" showInputMessage="1" showErrorMessage="1" error="DIGITE EL CODIGO DEL MES CORRESPONDIENTE AL SELECCIONADO EN LA LISTA._x000a__x000a_EQUIPO REM-DEIS" promptTitle="DIGITO MES:" prompt="Segundo: Entre 0 y 9" sqref="D6" xr:uid="{00000000-0002-0000-0000-00000D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E000000}">
      <formula1>$AA$11:$AA$22</formula1>
    </dataValidation>
    <dataValidation type="list" allowBlank="1" showInputMessage="1" showErrorMessage="1" sqref="AB11" xr:uid="{00000000-0002-0000-0000-000011000000}">
      <formula1>$AB$11:$AB$42</formula1>
    </dataValidation>
  </dataValidations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X149"/>
  <sheetViews>
    <sheetView showGridLines="0" zoomScaleNormal="100" workbookViewId="0"/>
  </sheetViews>
  <sheetFormatPr baseColWidth="10" defaultColWidth="11.6640625" defaultRowHeight="10.199999999999999" x14ac:dyDescent="0.2"/>
  <cols>
    <col min="1" max="1" width="18.21875" style="28" customWidth="1"/>
    <col min="2" max="2" width="37.88671875" style="28" customWidth="1"/>
    <col min="3" max="3" width="33.6640625" style="28" customWidth="1"/>
    <col min="4" max="4" width="15" style="28" customWidth="1"/>
    <col min="5" max="11" width="12.6640625" style="28" customWidth="1"/>
    <col min="12" max="12" width="15.44140625" style="28" customWidth="1"/>
    <col min="13" max="13" width="12.6640625" style="28" customWidth="1"/>
    <col min="14" max="15" width="15.6640625" style="28" customWidth="1"/>
    <col min="16" max="16" width="14.109375" style="28" customWidth="1"/>
    <col min="17" max="17" width="14.44140625" style="28" customWidth="1"/>
    <col min="18" max="22" width="11.6640625" style="28" customWidth="1"/>
    <col min="23" max="25" width="17" style="28" customWidth="1"/>
    <col min="26" max="26" width="17" style="28" hidden="1" customWidth="1"/>
    <col min="27" max="27" width="5.88671875" style="115" hidden="1" customWidth="1"/>
    <col min="28" max="36" width="12.6640625" style="115" hidden="1" customWidth="1"/>
    <col min="37" max="37" width="10.6640625" style="115" hidden="1" customWidth="1"/>
    <col min="38" max="38" width="12.6640625" style="115" hidden="1" customWidth="1"/>
    <col min="39" max="42" width="12.6640625" style="115" customWidth="1"/>
    <col min="43" max="43" width="6.5546875" style="115" customWidth="1"/>
    <col min="44" max="44" width="5.33203125" style="115" customWidth="1"/>
    <col min="45" max="45" width="5.88671875" style="115" customWidth="1"/>
    <col min="46" max="46" width="8.33203125" style="115" customWidth="1"/>
    <col min="47" max="47" width="11.44140625" style="115" customWidth="1"/>
    <col min="48" max="48" width="5.109375" style="115" customWidth="1"/>
    <col min="49" max="49" width="6.109375" style="115" customWidth="1"/>
    <col min="50" max="50" width="5.33203125" style="115" customWidth="1"/>
    <col min="51" max="51" width="5.6640625" style="115" customWidth="1"/>
    <col min="52" max="52" width="6.88671875" style="115" customWidth="1"/>
    <col min="53" max="53" width="6.44140625" style="115" customWidth="1"/>
    <col min="54" max="55" width="12.88671875" style="28" customWidth="1"/>
    <col min="56" max="60" width="11.6640625" style="28" customWidth="1"/>
    <col min="61" max="16384" width="11.6640625" style="28"/>
  </cols>
  <sheetData>
    <row r="1" spans="1:55" s="24" customFormat="1" ht="12.75" customHeight="1" x14ac:dyDescent="0.2">
      <c r="B1" s="23" t="s">
        <v>10</v>
      </c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</row>
    <row r="2" spans="1:55" s="24" customFormat="1" ht="12.75" customHeight="1" x14ac:dyDescent="0.2">
      <c r="B2" s="23" t="str">
        <f>CONCATENATE("COMUNA: ",NOMBRE!$B$2,"  ","( ",NOMBRE!$C$2,NOMBRE!$D$2,NOMBRE!$E$2,NOMBRE!$F$2,NOMBRE!$G$2," )")</f>
        <v>COMUNA:   (  )</v>
      </c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</row>
    <row r="3" spans="1:55" s="24" customFormat="1" ht="12.75" customHeight="1" x14ac:dyDescent="0.2">
      <c r="B3" s="23" t="str">
        <f>CONCATENATE("ESTABLECIMIENTO/ESTRATEGIA: ",NOMBRE!$B$3,"  ","( ",NOMBRE!$C$3,NOMBRE!$D$3,NOMBRE!$E$3,NOMBRE!$F$3,NOMBRE!$G$3,NOMBRE!$H$3," )")</f>
        <v>ESTABLECIMIENTO/ESTRATEGIA:   (  )</v>
      </c>
      <c r="E3" s="25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</row>
    <row r="4" spans="1:55" s="24" customFormat="1" ht="12.75" customHeight="1" x14ac:dyDescent="0.2">
      <c r="B4" s="23" t="str">
        <f>CONCATENATE("MES: ",NOMBRE!$B$6,"  ","( ",NOMBRE!$C$6,NOMBRE!$D$6," )")</f>
        <v>MES:   (  )</v>
      </c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</row>
    <row r="5" spans="1:55" s="24" customFormat="1" ht="12.75" customHeight="1" x14ac:dyDescent="0.2">
      <c r="B5" s="23" t="s">
        <v>58</v>
      </c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8"/>
      <c r="AU5" s="118"/>
      <c r="AV5" s="118"/>
      <c r="AW5" s="118"/>
      <c r="AX5" s="118"/>
      <c r="AY5" s="118"/>
      <c r="AZ5" s="118"/>
      <c r="BA5" s="118"/>
    </row>
    <row r="6" spans="1:55" s="27" customFormat="1" x14ac:dyDescent="0.2">
      <c r="B6" s="437"/>
      <c r="C6" s="437"/>
      <c r="D6" s="437"/>
      <c r="E6" s="437"/>
      <c r="F6" s="437"/>
      <c r="G6" s="437"/>
      <c r="H6" s="437"/>
      <c r="I6" s="437"/>
      <c r="J6" s="437"/>
      <c r="K6" s="437"/>
      <c r="L6" s="437"/>
      <c r="M6" s="26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119"/>
    </row>
    <row r="7" spans="1:55" s="27" customFormat="1" ht="24.75" customHeight="1" x14ac:dyDescent="0.2">
      <c r="B7" s="438" t="s">
        <v>59</v>
      </c>
      <c r="C7" s="438"/>
      <c r="D7" s="438"/>
      <c r="E7" s="438"/>
      <c r="F7" s="438"/>
      <c r="G7" s="438"/>
      <c r="H7" s="438"/>
      <c r="I7" s="438"/>
      <c r="J7" s="438"/>
      <c r="K7" s="438"/>
      <c r="L7" s="438"/>
      <c r="M7" s="438"/>
      <c r="N7" s="438"/>
      <c r="O7" s="438"/>
      <c r="P7" s="438"/>
      <c r="Q7" s="438"/>
      <c r="R7" s="438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</row>
    <row r="8" spans="1:55" ht="17.25" customHeight="1" x14ac:dyDescent="0.2">
      <c r="B8" s="274" t="s">
        <v>60</v>
      </c>
      <c r="C8" s="88"/>
    </row>
    <row r="9" spans="1:55" ht="21" customHeight="1" x14ac:dyDescent="0.2">
      <c r="B9" s="369" t="s">
        <v>61</v>
      </c>
      <c r="C9" s="391" t="s">
        <v>62</v>
      </c>
      <c r="D9" s="391" t="s">
        <v>63</v>
      </c>
      <c r="E9" s="394" t="s">
        <v>64</v>
      </c>
      <c r="F9" s="395"/>
      <c r="G9" s="395"/>
      <c r="H9" s="395"/>
      <c r="I9" s="395"/>
      <c r="J9" s="395"/>
      <c r="K9" s="422"/>
      <c r="L9" s="442" t="s">
        <v>65</v>
      </c>
      <c r="M9" s="422"/>
      <c r="N9" s="398" t="s">
        <v>66</v>
      </c>
      <c r="O9" s="398"/>
      <c r="P9" s="399"/>
      <c r="Y9" s="115"/>
      <c r="Z9" s="115"/>
      <c r="BA9" s="28"/>
    </row>
    <row r="10" spans="1:55" ht="12.75" customHeight="1" x14ac:dyDescent="0.2">
      <c r="B10" s="370"/>
      <c r="C10" s="392"/>
      <c r="D10" s="392"/>
      <c r="E10" s="400" t="s">
        <v>67</v>
      </c>
      <c r="F10" s="403" t="s">
        <v>68</v>
      </c>
      <c r="G10" s="406" t="s">
        <v>69</v>
      </c>
      <c r="H10" s="409" t="s">
        <v>70</v>
      </c>
      <c r="I10" s="406" t="s">
        <v>71</v>
      </c>
      <c r="J10" s="406" t="s">
        <v>72</v>
      </c>
      <c r="K10" s="425" t="s">
        <v>73</v>
      </c>
      <c r="L10" s="443" t="s">
        <v>74</v>
      </c>
      <c r="M10" s="439" t="s">
        <v>75</v>
      </c>
      <c r="N10" s="378" t="s">
        <v>76</v>
      </c>
      <c r="O10" s="352" t="s">
        <v>77</v>
      </c>
      <c r="P10" s="419" t="s">
        <v>78</v>
      </c>
      <c r="Z10" s="115"/>
    </row>
    <row r="11" spans="1:55" ht="12.75" customHeight="1" x14ac:dyDescent="0.2">
      <c r="B11" s="370"/>
      <c r="C11" s="392"/>
      <c r="D11" s="392"/>
      <c r="E11" s="401"/>
      <c r="F11" s="404"/>
      <c r="G11" s="407"/>
      <c r="H11" s="410"/>
      <c r="I11" s="407"/>
      <c r="J11" s="407"/>
      <c r="K11" s="426"/>
      <c r="L11" s="444"/>
      <c r="M11" s="440"/>
      <c r="N11" s="428"/>
      <c r="O11" s="353"/>
      <c r="P11" s="420"/>
      <c r="Z11" s="115"/>
    </row>
    <row r="12" spans="1:55" ht="14.25" customHeight="1" x14ac:dyDescent="0.2">
      <c r="B12" s="371"/>
      <c r="C12" s="393"/>
      <c r="D12" s="393"/>
      <c r="E12" s="402"/>
      <c r="F12" s="405"/>
      <c r="G12" s="408"/>
      <c r="H12" s="411"/>
      <c r="I12" s="408"/>
      <c r="J12" s="408"/>
      <c r="K12" s="427"/>
      <c r="L12" s="445"/>
      <c r="M12" s="441"/>
      <c r="N12" s="379"/>
      <c r="O12" s="354"/>
      <c r="P12" s="421"/>
      <c r="Z12" s="115"/>
    </row>
    <row r="13" spans="1:55" ht="15" customHeight="1" x14ac:dyDescent="0.2">
      <c r="A13" s="480">
        <v>15080014</v>
      </c>
      <c r="B13" s="370" t="s">
        <v>79</v>
      </c>
      <c r="C13" s="175" t="s">
        <v>80</v>
      </c>
      <c r="D13" s="485" t="s">
        <v>168</v>
      </c>
      <c r="E13" s="486" t="s">
        <v>169</v>
      </c>
      <c r="F13" s="487" t="s">
        <v>170</v>
      </c>
      <c r="G13" s="487" t="s">
        <v>171</v>
      </c>
      <c r="H13" s="488" t="s">
        <v>172</v>
      </c>
      <c r="I13" s="488" t="s">
        <v>173</v>
      </c>
      <c r="J13" s="487" t="s">
        <v>174</v>
      </c>
      <c r="K13" s="489" t="s">
        <v>175</v>
      </c>
      <c r="L13" s="490" t="s">
        <v>176</v>
      </c>
      <c r="M13" s="491" t="s">
        <v>177</v>
      </c>
      <c r="N13" s="492" t="s">
        <v>178</v>
      </c>
      <c r="O13" s="487" t="s">
        <v>179</v>
      </c>
      <c r="P13" s="493" t="s">
        <v>180</v>
      </c>
      <c r="Z13" s="115"/>
      <c r="AA13" s="116"/>
      <c r="AB13" s="308" t="str">
        <f>IF(AND(OR(D13&lt;&gt;0),N37=""),"* No olvide digitar la Sección B, Número de personas intrasistema que retiran, en el grupo de Gestantes:Normal, Sobrepeso y Obesas.","")</f>
        <v/>
      </c>
      <c r="AC13" s="116"/>
      <c r="AD13" s="116"/>
      <c r="AE13" s="116"/>
      <c r="AF13" s="116"/>
      <c r="AG13" s="116"/>
      <c r="AH13" s="116"/>
      <c r="AI13" s="36">
        <f>IF(AND(OR($D13&lt;&gt;0),$N$37=""),1,0)</f>
        <v>0</v>
      </c>
    </row>
    <row r="14" spans="1:55" ht="15" customHeight="1" x14ac:dyDescent="0.2">
      <c r="A14" s="480">
        <v>15080015</v>
      </c>
      <c r="B14" s="370"/>
      <c r="C14" s="175" t="s">
        <v>81</v>
      </c>
      <c r="D14" s="485" t="s">
        <v>168</v>
      </c>
      <c r="E14" s="494" t="s">
        <v>169</v>
      </c>
      <c r="F14" s="495" t="s">
        <v>170</v>
      </c>
      <c r="G14" s="496" t="s">
        <v>171</v>
      </c>
      <c r="H14" s="497" t="s">
        <v>172</v>
      </c>
      <c r="I14" s="498" t="s">
        <v>173</v>
      </c>
      <c r="J14" s="488" t="s">
        <v>174</v>
      </c>
      <c r="K14" s="499" t="s">
        <v>175</v>
      </c>
      <c r="L14" s="500" t="s">
        <v>176</v>
      </c>
      <c r="M14" s="501" t="s">
        <v>177</v>
      </c>
      <c r="N14" s="502" t="s">
        <v>178</v>
      </c>
      <c r="O14" s="503" t="s">
        <v>179</v>
      </c>
      <c r="P14" s="504" t="s">
        <v>180</v>
      </c>
      <c r="Q14" s="28" t="str">
        <f>$AB14&amp;$AC14&amp;$AD14&amp;$AE14</f>
        <v/>
      </c>
      <c r="Z14" s="115"/>
      <c r="AA14" s="116"/>
      <c r="AB14" s="308" t="str">
        <f>IF(AND(OR(D14&lt;&gt;0),N37=""),"* No olvide digitar la Sección B, Número de personas intrasistema que retiran, en el grupo de Gestantes:Normal, Sobrepeso y Obesas.","")</f>
        <v/>
      </c>
      <c r="AC14" s="323"/>
      <c r="AD14" s="323"/>
      <c r="AE14" s="323"/>
      <c r="AF14" s="323"/>
      <c r="AI14" s="36">
        <f t="shared" ref="AI14:AI15" si="0">IF(AND(OR($D14&lt;&gt;0),$N$37=""),1,0)</f>
        <v>0</v>
      </c>
      <c r="AJ14" s="323"/>
      <c r="AK14" s="323"/>
      <c r="AL14" s="323"/>
      <c r="AM14" s="323"/>
    </row>
    <row r="15" spans="1:55" ht="15" customHeight="1" x14ac:dyDescent="0.2">
      <c r="A15" s="480">
        <v>15080008</v>
      </c>
      <c r="B15" s="370"/>
      <c r="C15" s="175" t="s">
        <v>82</v>
      </c>
      <c r="D15" s="505" t="s">
        <v>168</v>
      </c>
      <c r="E15" s="506" t="s">
        <v>169</v>
      </c>
      <c r="F15" s="507" t="s">
        <v>170</v>
      </c>
      <c r="G15" s="508" t="s">
        <v>171</v>
      </c>
      <c r="H15" s="509" t="s">
        <v>172</v>
      </c>
      <c r="I15" s="508" t="s">
        <v>173</v>
      </c>
      <c r="J15" s="508" t="s">
        <v>174</v>
      </c>
      <c r="K15" s="510" t="s">
        <v>175</v>
      </c>
      <c r="L15" s="511" t="s">
        <v>176</v>
      </c>
      <c r="M15" s="512" t="s">
        <v>177</v>
      </c>
      <c r="N15" s="513" t="s">
        <v>178</v>
      </c>
      <c r="O15" s="514" t="s">
        <v>179</v>
      </c>
      <c r="P15" s="515" t="s">
        <v>180</v>
      </c>
      <c r="Q15" s="28" t="str">
        <f>$AB15&amp;$AC15&amp;$AD15&amp;$AE15</f>
        <v/>
      </c>
      <c r="Z15" s="115"/>
      <c r="AA15" s="116"/>
      <c r="AB15" s="308" t="str">
        <f>IF(AND(OR(D15&lt;&gt;0),N37=""),"* No olvide digitar la Sección B, Número de personas intrasistema que retiran, en el grupo de Gestantes:Normal, Sobrepeso y Obesas.","")</f>
        <v/>
      </c>
      <c r="AC15" s="323"/>
      <c r="AD15" s="323"/>
      <c r="AE15" s="323"/>
      <c r="AF15" s="323"/>
      <c r="AI15" s="36">
        <f t="shared" si="0"/>
        <v>0</v>
      </c>
      <c r="AJ15" s="323"/>
      <c r="AK15" s="323"/>
      <c r="AL15" s="323"/>
      <c r="AM15" s="323"/>
      <c r="BB15" s="115"/>
      <c r="BC15" s="115"/>
    </row>
    <row r="16" spans="1:55" ht="15" customHeight="1" x14ac:dyDescent="0.2">
      <c r="A16" s="480">
        <v>15900010</v>
      </c>
      <c r="B16" s="370"/>
      <c r="C16" s="175" t="s">
        <v>83</v>
      </c>
      <c r="D16" s="516" t="s">
        <v>168</v>
      </c>
      <c r="E16" s="517" t="s">
        <v>169</v>
      </c>
      <c r="F16" s="518" t="s">
        <v>170</v>
      </c>
      <c r="G16" s="518" t="s">
        <v>171</v>
      </c>
      <c r="H16" s="519" t="s">
        <v>172</v>
      </c>
      <c r="I16" s="519" t="s">
        <v>173</v>
      </c>
      <c r="J16" s="519" t="s">
        <v>174</v>
      </c>
      <c r="K16" s="520" t="s">
        <v>175</v>
      </c>
      <c r="L16" s="521" t="s">
        <v>176</v>
      </c>
      <c r="M16" s="522" t="s">
        <v>177</v>
      </c>
      <c r="N16" s="523" t="s">
        <v>178</v>
      </c>
      <c r="O16" s="519" t="s">
        <v>179</v>
      </c>
      <c r="P16" s="524" t="s">
        <v>180</v>
      </c>
      <c r="Z16" s="115"/>
      <c r="AB16" s="308" t="str">
        <f>IF(AND(OR(D16&lt;&gt;0),N37=""),"* No olvide digitar la Sección B, Número de personas intrasistema que retiran, en el grupo de Gestantes:Normal, Sobrepeso y Obesas.","")</f>
        <v/>
      </c>
      <c r="AI16" s="36">
        <f>IF(AND(OR($D16&lt;&gt;0),$N$37=""),1,0)</f>
        <v>0</v>
      </c>
    </row>
    <row r="17" spans="1:53" ht="15" customHeight="1" x14ac:dyDescent="0.2">
      <c r="A17" s="481"/>
      <c r="B17" s="371"/>
      <c r="C17" s="29" t="s">
        <v>84</v>
      </c>
      <c r="D17" s="240">
        <f>SUM(E17:P17)</f>
        <v>0</v>
      </c>
      <c r="E17" s="110">
        <f>SUM(E16)</f>
        <v>0</v>
      </c>
      <c r="F17" s="112">
        <f>SUM(F16)</f>
        <v>0</v>
      </c>
      <c r="G17" s="112">
        <f>SUM(G16)</f>
        <v>0</v>
      </c>
      <c r="H17" s="202">
        <f>SUM(H13)</f>
        <v>0</v>
      </c>
      <c r="I17" s="202">
        <f>SUM(I13)</f>
        <v>0</v>
      </c>
      <c r="J17" s="202">
        <f>SUM(J14)</f>
        <v>0</v>
      </c>
      <c r="K17" s="311">
        <f>SUM(K14)</f>
        <v>0</v>
      </c>
      <c r="L17" s="313">
        <f>SUM(L14:L15)</f>
        <v>0</v>
      </c>
      <c r="M17" s="314"/>
      <c r="N17" s="205">
        <f>SUM(N14:N15)</f>
        <v>0</v>
      </c>
      <c r="O17" s="201">
        <f>SUM(O14:O15)</f>
        <v>0</v>
      </c>
      <c r="P17" s="203">
        <f>SUM(P14:P15)</f>
        <v>0</v>
      </c>
      <c r="Z17" s="115"/>
    </row>
    <row r="18" spans="1:53" ht="15" customHeight="1" x14ac:dyDescent="0.2">
      <c r="A18" s="480">
        <v>15080016</v>
      </c>
      <c r="B18" s="370" t="s">
        <v>85</v>
      </c>
      <c r="C18" s="175" t="s">
        <v>80</v>
      </c>
      <c r="D18" s="485" t="s">
        <v>168</v>
      </c>
      <c r="E18" s="486" t="s">
        <v>169</v>
      </c>
      <c r="F18" s="487" t="s">
        <v>170</v>
      </c>
      <c r="G18" s="487" t="s">
        <v>171</v>
      </c>
      <c r="H18" s="488" t="s">
        <v>172</v>
      </c>
      <c r="I18" s="488" t="s">
        <v>173</v>
      </c>
      <c r="J18" s="487" t="s">
        <v>174</v>
      </c>
      <c r="K18" s="489" t="s">
        <v>175</v>
      </c>
      <c r="L18" s="490" t="s">
        <v>176</v>
      </c>
      <c r="M18" s="491" t="s">
        <v>177</v>
      </c>
      <c r="N18" s="492" t="s">
        <v>178</v>
      </c>
      <c r="O18" s="487" t="s">
        <v>179</v>
      </c>
      <c r="P18" s="493" t="s">
        <v>180</v>
      </c>
      <c r="Z18" s="115"/>
      <c r="AA18" s="116"/>
      <c r="AB18" s="116"/>
      <c r="AC18" s="116"/>
      <c r="AD18" s="116"/>
      <c r="AE18" s="116"/>
      <c r="AF18" s="116"/>
      <c r="AG18" s="116"/>
      <c r="AH18" s="116"/>
      <c r="AI18" s="116"/>
    </row>
    <row r="19" spans="1:53" ht="15" customHeight="1" x14ac:dyDescent="0.2">
      <c r="A19" s="480">
        <v>15080017</v>
      </c>
      <c r="B19" s="370"/>
      <c r="C19" s="86" t="s">
        <v>81</v>
      </c>
      <c r="D19" s="485" t="s">
        <v>168</v>
      </c>
      <c r="E19" s="486" t="s">
        <v>169</v>
      </c>
      <c r="F19" s="487" t="s">
        <v>170</v>
      </c>
      <c r="G19" s="487" t="s">
        <v>171</v>
      </c>
      <c r="H19" s="488" t="s">
        <v>172</v>
      </c>
      <c r="I19" s="488" t="s">
        <v>173</v>
      </c>
      <c r="J19" s="487" t="s">
        <v>174</v>
      </c>
      <c r="K19" s="489" t="s">
        <v>175</v>
      </c>
      <c r="L19" s="490" t="s">
        <v>176</v>
      </c>
      <c r="M19" s="491" t="s">
        <v>177</v>
      </c>
      <c r="N19" s="492" t="s">
        <v>178</v>
      </c>
      <c r="O19" s="487" t="s">
        <v>179</v>
      </c>
      <c r="P19" s="493" t="s">
        <v>180</v>
      </c>
      <c r="Z19" s="115"/>
      <c r="AA19" s="116"/>
      <c r="AB19" s="116"/>
      <c r="AC19" s="116"/>
      <c r="AD19" s="116"/>
      <c r="AE19" s="116"/>
      <c r="AF19" s="116"/>
      <c r="AG19" s="116"/>
      <c r="AH19" s="116"/>
      <c r="AI19" s="116"/>
    </row>
    <row r="20" spans="1:53" ht="15" customHeight="1" x14ac:dyDescent="0.2">
      <c r="A20" s="480">
        <v>15010500</v>
      </c>
      <c r="B20" s="370"/>
      <c r="C20" s="86" t="s">
        <v>86</v>
      </c>
      <c r="D20" s="485" t="s">
        <v>168</v>
      </c>
      <c r="E20" s="486" t="s">
        <v>169</v>
      </c>
      <c r="F20" s="487" t="s">
        <v>170</v>
      </c>
      <c r="G20" s="487" t="s">
        <v>171</v>
      </c>
      <c r="H20" s="488" t="s">
        <v>172</v>
      </c>
      <c r="I20" s="488" t="s">
        <v>173</v>
      </c>
      <c r="J20" s="487" t="s">
        <v>174</v>
      </c>
      <c r="K20" s="489" t="s">
        <v>175</v>
      </c>
      <c r="L20" s="490" t="s">
        <v>176</v>
      </c>
      <c r="M20" s="491" t="s">
        <v>177</v>
      </c>
      <c r="N20" s="492" t="s">
        <v>178</v>
      </c>
      <c r="O20" s="487" t="s">
        <v>179</v>
      </c>
      <c r="P20" s="493" t="s">
        <v>180</v>
      </c>
      <c r="Q20" s="30"/>
      <c r="R20" s="30"/>
      <c r="Z20" s="115"/>
      <c r="AA20" s="116"/>
      <c r="AB20" s="116"/>
      <c r="AC20" s="116"/>
      <c r="AD20" s="116"/>
      <c r="AF20" s="116"/>
      <c r="AG20" s="116"/>
      <c r="AH20" s="116"/>
      <c r="AI20" s="116"/>
    </row>
    <row r="21" spans="1:53" ht="15" customHeight="1" x14ac:dyDescent="0.2">
      <c r="A21" s="480">
        <v>15080009</v>
      </c>
      <c r="B21" s="370"/>
      <c r="C21" s="175" t="s">
        <v>82</v>
      </c>
      <c r="D21" s="485" t="s">
        <v>168</v>
      </c>
      <c r="E21" s="486" t="s">
        <v>169</v>
      </c>
      <c r="F21" s="487" t="s">
        <v>170</v>
      </c>
      <c r="G21" s="487" t="s">
        <v>171</v>
      </c>
      <c r="H21" s="488" t="s">
        <v>172</v>
      </c>
      <c r="I21" s="488" t="s">
        <v>173</v>
      </c>
      <c r="J21" s="487" t="s">
        <v>174</v>
      </c>
      <c r="K21" s="489" t="s">
        <v>175</v>
      </c>
      <c r="L21" s="490" t="s">
        <v>176</v>
      </c>
      <c r="M21" s="491" t="s">
        <v>177</v>
      </c>
      <c r="N21" s="492" t="s">
        <v>178</v>
      </c>
      <c r="O21" s="487" t="s">
        <v>179</v>
      </c>
      <c r="P21" s="493" t="s">
        <v>180</v>
      </c>
      <c r="Z21" s="115"/>
      <c r="AA21" s="116"/>
      <c r="AB21" s="116"/>
      <c r="AF21" s="116"/>
      <c r="AG21" s="116"/>
    </row>
    <row r="22" spans="1:53" ht="15" customHeight="1" x14ac:dyDescent="0.2">
      <c r="A22" s="480">
        <v>15900020</v>
      </c>
      <c r="B22" s="370"/>
      <c r="C22" s="175" t="s">
        <v>83</v>
      </c>
      <c r="D22" s="485" t="s">
        <v>168</v>
      </c>
      <c r="E22" s="486" t="s">
        <v>169</v>
      </c>
      <c r="F22" s="487" t="s">
        <v>170</v>
      </c>
      <c r="G22" s="487" t="s">
        <v>171</v>
      </c>
      <c r="H22" s="488" t="s">
        <v>172</v>
      </c>
      <c r="I22" s="488" t="s">
        <v>173</v>
      </c>
      <c r="J22" s="487" t="s">
        <v>174</v>
      </c>
      <c r="K22" s="489" t="s">
        <v>175</v>
      </c>
      <c r="L22" s="490" t="s">
        <v>176</v>
      </c>
      <c r="M22" s="491" t="s">
        <v>177</v>
      </c>
      <c r="N22" s="492" t="s">
        <v>178</v>
      </c>
      <c r="O22" s="487" t="s">
        <v>179</v>
      </c>
      <c r="P22" s="493" t="s">
        <v>180</v>
      </c>
      <c r="Z22" s="115"/>
    </row>
    <row r="23" spans="1:53" ht="15" customHeight="1" x14ac:dyDescent="0.2">
      <c r="A23" s="481"/>
      <c r="B23" s="371"/>
      <c r="C23" s="29" t="s">
        <v>84</v>
      </c>
      <c r="D23" s="240" t="e">
        <f>SUM(E23:P23)</f>
        <v>#VALUE!</v>
      </c>
      <c r="E23" s="110">
        <f>SUM(E22)</f>
        <v>0</v>
      </c>
      <c r="F23" s="112" t="e">
        <f>SUM(F20+F22)</f>
        <v>#VALUE!</v>
      </c>
      <c r="G23" s="112" t="e">
        <f>SUM(G20+G22)</f>
        <v>#VALUE!</v>
      </c>
      <c r="H23" s="202" t="e">
        <f>SUM(H18+H20)</f>
        <v>#VALUE!</v>
      </c>
      <c r="I23" s="202" t="e">
        <f>SUM(I18+I20)</f>
        <v>#VALUE!</v>
      </c>
      <c r="J23" s="202" t="e">
        <f>SUM(J18+J20)</f>
        <v>#VALUE!</v>
      </c>
      <c r="K23" s="311" t="e">
        <f>SUM(K18+K20)</f>
        <v>#VALUE!</v>
      </c>
      <c r="L23" s="315"/>
      <c r="M23" s="316" t="e">
        <f>SUM(M19+M21)</f>
        <v>#VALUE!</v>
      </c>
      <c r="N23" s="205" t="e">
        <f>SUM(N19+N21)</f>
        <v>#VALUE!</v>
      </c>
      <c r="O23" s="205" t="e">
        <f>SUM(O19+O21)</f>
        <v>#VALUE!</v>
      </c>
      <c r="P23" s="207" t="e">
        <f>SUM(P19+P21)</f>
        <v>#VALUE!</v>
      </c>
      <c r="Q23" s="30"/>
      <c r="R23" s="30"/>
      <c r="Z23" s="115"/>
    </row>
    <row r="24" spans="1:53" ht="15" customHeight="1" x14ac:dyDescent="0.2">
      <c r="A24" s="480">
        <v>15030100</v>
      </c>
      <c r="B24" s="369" t="s">
        <v>87</v>
      </c>
      <c r="C24" s="86" t="s">
        <v>88</v>
      </c>
      <c r="D24" s="485" t="s">
        <v>168</v>
      </c>
      <c r="E24" s="486" t="s">
        <v>169</v>
      </c>
      <c r="F24" s="487" t="s">
        <v>170</v>
      </c>
      <c r="G24" s="487" t="s">
        <v>171</v>
      </c>
      <c r="H24" s="488" t="s">
        <v>172</v>
      </c>
      <c r="I24" s="488" t="s">
        <v>173</v>
      </c>
      <c r="J24" s="487" t="s">
        <v>174</v>
      </c>
      <c r="K24" s="489" t="s">
        <v>175</v>
      </c>
      <c r="L24" s="490" t="s">
        <v>176</v>
      </c>
      <c r="M24" s="491" t="s">
        <v>177</v>
      </c>
      <c r="N24" s="492" t="s">
        <v>178</v>
      </c>
      <c r="O24" s="487" t="s">
        <v>179</v>
      </c>
      <c r="P24" s="493" t="s">
        <v>180</v>
      </c>
      <c r="Z24" s="115"/>
      <c r="AA24" s="116"/>
      <c r="AB24" s="116"/>
      <c r="AC24" s="116"/>
      <c r="AD24" s="116"/>
      <c r="AE24" s="116"/>
      <c r="AF24" s="116"/>
      <c r="AG24" s="116"/>
      <c r="AH24" s="116"/>
      <c r="AI24" s="116"/>
    </row>
    <row r="25" spans="1:53" s="31" customFormat="1" ht="15" customHeight="1" x14ac:dyDescent="0.2">
      <c r="A25" s="480">
        <v>15901500</v>
      </c>
      <c r="B25" s="370"/>
      <c r="C25" s="86" t="s">
        <v>89</v>
      </c>
      <c r="D25" s="485" t="s">
        <v>168</v>
      </c>
      <c r="E25" s="486" t="s">
        <v>169</v>
      </c>
      <c r="F25" s="487" t="s">
        <v>170</v>
      </c>
      <c r="G25" s="487" t="s">
        <v>171</v>
      </c>
      <c r="H25" s="488" t="s">
        <v>172</v>
      </c>
      <c r="I25" s="488" t="s">
        <v>173</v>
      </c>
      <c r="J25" s="487" t="s">
        <v>174</v>
      </c>
      <c r="K25" s="489" t="s">
        <v>175</v>
      </c>
      <c r="L25" s="490" t="s">
        <v>176</v>
      </c>
      <c r="M25" s="491" t="s">
        <v>177</v>
      </c>
      <c r="N25" s="492" t="s">
        <v>178</v>
      </c>
      <c r="O25" s="487" t="s">
        <v>179</v>
      </c>
      <c r="P25" s="493" t="s">
        <v>180</v>
      </c>
      <c r="Q25" s="28"/>
      <c r="R25" s="28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</row>
    <row r="26" spans="1:53" s="31" customFormat="1" ht="15" customHeight="1" x14ac:dyDescent="0.2">
      <c r="A26" s="480">
        <v>15080012</v>
      </c>
      <c r="B26" s="370"/>
      <c r="C26" s="86" t="s">
        <v>86</v>
      </c>
      <c r="D26" s="485" t="s">
        <v>168</v>
      </c>
      <c r="E26" s="486" t="s">
        <v>169</v>
      </c>
      <c r="F26" s="487" t="s">
        <v>170</v>
      </c>
      <c r="G26" s="487" t="s">
        <v>171</v>
      </c>
      <c r="H26" s="488" t="s">
        <v>172</v>
      </c>
      <c r="I26" s="488" t="s">
        <v>173</v>
      </c>
      <c r="J26" s="487" t="s">
        <v>174</v>
      </c>
      <c r="K26" s="489" t="s">
        <v>175</v>
      </c>
      <c r="L26" s="490" t="s">
        <v>176</v>
      </c>
      <c r="M26" s="491" t="s">
        <v>177</v>
      </c>
      <c r="N26" s="492" t="s">
        <v>178</v>
      </c>
      <c r="O26" s="487" t="s">
        <v>179</v>
      </c>
      <c r="P26" s="493" t="s">
        <v>180</v>
      </c>
      <c r="Q26" s="28"/>
      <c r="R26" s="28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</row>
    <row r="27" spans="1:53" s="31" customFormat="1" ht="15" customHeight="1" x14ac:dyDescent="0.2">
      <c r="A27" s="482"/>
      <c r="B27" s="371"/>
      <c r="C27" s="29" t="s">
        <v>84</v>
      </c>
      <c r="D27" s="240">
        <f>SUM(E27:P27)</f>
        <v>0</v>
      </c>
      <c r="E27" s="110">
        <f>SUM(E24:E25)</f>
        <v>0</v>
      </c>
      <c r="F27" s="112">
        <f>SUM(F24:F26)</f>
        <v>0</v>
      </c>
      <c r="G27" s="112">
        <f>SUM(G24:G26)</f>
        <v>0</v>
      </c>
      <c r="H27" s="276"/>
      <c r="I27" s="276"/>
      <c r="J27" s="276"/>
      <c r="K27" s="312"/>
      <c r="L27" s="317"/>
      <c r="M27" s="312"/>
      <c r="N27" s="309"/>
      <c r="O27" s="309"/>
      <c r="P27" s="333"/>
      <c r="Q27" s="28"/>
      <c r="R27" s="28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</row>
    <row r="28" spans="1:53" s="31" customFormat="1" ht="15" customHeight="1" x14ac:dyDescent="0.2">
      <c r="A28" s="480">
        <v>15900030</v>
      </c>
      <c r="B28" s="369" t="s">
        <v>90</v>
      </c>
      <c r="C28" s="86" t="s">
        <v>91</v>
      </c>
      <c r="D28" s="485" t="s">
        <v>168</v>
      </c>
      <c r="E28" s="486" t="s">
        <v>169</v>
      </c>
      <c r="F28" s="487" t="s">
        <v>170</v>
      </c>
      <c r="G28" s="487" t="s">
        <v>171</v>
      </c>
      <c r="H28" s="488" t="s">
        <v>172</v>
      </c>
      <c r="I28" s="488" t="s">
        <v>173</v>
      </c>
      <c r="J28" s="487" t="s">
        <v>174</v>
      </c>
      <c r="K28" s="489" t="s">
        <v>175</v>
      </c>
      <c r="L28" s="490" t="s">
        <v>176</v>
      </c>
      <c r="M28" s="491" t="s">
        <v>177</v>
      </c>
      <c r="N28" s="492" t="s">
        <v>178</v>
      </c>
      <c r="O28" s="487" t="s">
        <v>179</v>
      </c>
      <c r="P28" s="493" t="s">
        <v>180</v>
      </c>
      <c r="Q28" s="28"/>
      <c r="R28" s="28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</row>
    <row r="29" spans="1:53" s="31" customFormat="1" ht="15" customHeight="1" x14ac:dyDescent="0.2">
      <c r="A29" s="480">
        <v>15900040</v>
      </c>
      <c r="B29" s="370"/>
      <c r="C29" s="86" t="s">
        <v>92</v>
      </c>
      <c r="D29" s="485" t="s">
        <v>168</v>
      </c>
      <c r="E29" s="486" t="s">
        <v>169</v>
      </c>
      <c r="F29" s="487" t="s">
        <v>170</v>
      </c>
      <c r="G29" s="487" t="s">
        <v>171</v>
      </c>
      <c r="H29" s="488" t="s">
        <v>172</v>
      </c>
      <c r="I29" s="488" t="s">
        <v>173</v>
      </c>
      <c r="J29" s="487" t="s">
        <v>174</v>
      </c>
      <c r="K29" s="489" t="s">
        <v>175</v>
      </c>
      <c r="L29" s="490" t="s">
        <v>176</v>
      </c>
      <c r="M29" s="491" t="s">
        <v>177</v>
      </c>
      <c r="N29" s="492" t="s">
        <v>178</v>
      </c>
      <c r="O29" s="487" t="s">
        <v>179</v>
      </c>
      <c r="P29" s="493" t="s">
        <v>180</v>
      </c>
      <c r="Q29" s="28"/>
      <c r="R29" s="28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</row>
    <row r="30" spans="1:53" ht="15" customHeight="1" x14ac:dyDescent="0.2">
      <c r="A30" s="481"/>
      <c r="B30" s="371"/>
      <c r="C30" s="29" t="s">
        <v>84</v>
      </c>
      <c r="D30" s="240">
        <f>SUM(E30:P30)</f>
        <v>0</v>
      </c>
      <c r="E30" s="110">
        <f t="shared" ref="E30:K30" si="1">SUM(E28:E29)</f>
        <v>0</v>
      </c>
      <c r="F30" s="112">
        <f t="shared" si="1"/>
        <v>0</v>
      </c>
      <c r="G30" s="112">
        <f t="shared" si="1"/>
        <v>0</v>
      </c>
      <c r="H30" s="112">
        <f>SUM(H28:H29)</f>
        <v>0</v>
      </c>
      <c r="I30" s="112">
        <f>SUM(I28:I29)</f>
        <v>0</v>
      </c>
      <c r="J30" s="112">
        <f t="shared" si="1"/>
        <v>0</v>
      </c>
      <c r="K30" s="332">
        <f t="shared" si="1"/>
        <v>0</v>
      </c>
      <c r="L30" s="318"/>
      <c r="M30" s="319"/>
      <c r="N30" s="310"/>
      <c r="O30" s="310"/>
      <c r="P30" s="334"/>
      <c r="Q30" s="30"/>
      <c r="R30" s="30"/>
      <c r="Z30" s="115"/>
    </row>
    <row r="31" spans="1:53" ht="15" customHeight="1" x14ac:dyDescent="0.2">
      <c r="A31" s="481"/>
      <c r="B31" s="362" t="s">
        <v>63</v>
      </c>
      <c r="C31" s="363"/>
      <c r="D31" s="240" t="e">
        <f>SUM(E31:P31)</f>
        <v>#VALUE!</v>
      </c>
      <c r="E31" s="110">
        <f>+E17+E23+E27+E30</f>
        <v>0</v>
      </c>
      <c r="F31" s="112" t="e">
        <f t="shared" ref="F31" si="2">+F17+F23+F27+F30</f>
        <v>#VALUE!</v>
      </c>
      <c r="G31" s="112" t="e">
        <f>+G17+G23+G27+G30</f>
        <v>#VALUE!</v>
      </c>
      <c r="H31" s="112" t="e">
        <f>+H17+H23+H30</f>
        <v>#VALUE!</v>
      </c>
      <c r="I31" s="112" t="e">
        <f t="shared" ref="I31:J31" si="3">+I17+I23+I30</f>
        <v>#VALUE!</v>
      </c>
      <c r="J31" s="112" t="e">
        <f t="shared" si="3"/>
        <v>#VALUE!</v>
      </c>
      <c r="K31" s="332" t="e">
        <f>+K17+K23+K30</f>
        <v>#VALUE!</v>
      </c>
      <c r="L31" s="313">
        <f>L17</f>
        <v>0</v>
      </c>
      <c r="M31" s="316" t="e">
        <f>M23</f>
        <v>#VALUE!</v>
      </c>
      <c r="N31" s="205" t="e">
        <f>+N17+N23</f>
        <v>#VALUE!</v>
      </c>
      <c r="O31" s="201" t="e">
        <f>+O17+O23</f>
        <v>#VALUE!</v>
      </c>
      <c r="P31" s="203" t="e">
        <f>+P17+P23</f>
        <v>#VALUE!</v>
      </c>
      <c r="Q31" s="30"/>
      <c r="R31" s="30"/>
      <c r="Z31" s="115"/>
    </row>
    <row r="32" spans="1:53" ht="30" customHeight="1" x14ac:dyDescent="0.2">
      <c r="B32" s="274" t="s">
        <v>93</v>
      </c>
      <c r="D32" s="32"/>
    </row>
    <row r="33" spans="1:55" ht="29.25" customHeight="1" x14ac:dyDescent="0.2">
      <c r="B33" s="366" t="s">
        <v>61</v>
      </c>
      <c r="C33" s="355"/>
      <c r="D33" s="369" t="s">
        <v>63</v>
      </c>
      <c r="E33" s="369" t="s">
        <v>94</v>
      </c>
      <c r="F33" s="369" t="s">
        <v>95</v>
      </c>
      <c r="G33" s="394" t="s">
        <v>64</v>
      </c>
      <c r="H33" s="395"/>
      <c r="I33" s="395"/>
      <c r="J33" s="395"/>
      <c r="K33" s="395"/>
      <c r="L33" s="395"/>
      <c r="M33" s="422"/>
      <c r="N33" s="423" t="s">
        <v>65</v>
      </c>
      <c r="O33" s="424"/>
      <c r="P33" s="397" t="s">
        <v>66</v>
      </c>
      <c r="Q33" s="398"/>
      <c r="R33" s="399"/>
      <c r="T33" s="24"/>
    </row>
    <row r="34" spans="1:55" ht="14.1" customHeight="1" x14ac:dyDescent="0.2">
      <c r="B34" s="367"/>
      <c r="C34" s="356"/>
      <c r="D34" s="367"/>
      <c r="E34" s="370"/>
      <c r="F34" s="370"/>
      <c r="G34" s="400" t="s">
        <v>67</v>
      </c>
      <c r="H34" s="406" t="s">
        <v>68</v>
      </c>
      <c r="I34" s="406" t="s">
        <v>69</v>
      </c>
      <c r="J34" s="409" t="s">
        <v>70</v>
      </c>
      <c r="K34" s="406" t="s">
        <v>71</v>
      </c>
      <c r="L34" s="406" t="s">
        <v>72</v>
      </c>
      <c r="M34" s="425" t="s">
        <v>73</v>
      </c>
      <c r="N34" s="378" t="s">
        <v>74</v>
      </c>
      <c r="O34" s="429" t="s">
        <v>75</v>
      </c>
      <c r="P34" s="378" t="s">
        <v>76</v>
      </c>
      <c r="Q34" s="352" t="s">
        <v>77</v>
      </c>
      <c r="R34" s="355" t="s">
        <v>78</v>
      </c>
      <c r="T34" s="24"/>
    </row>
    <row r="35" spans="1:55" ht="14.1" customHeight="1" x14ac:dyDescent="0.2">
      <c r="B35" s="367"/>
      <c r="C35" s="356"/>
      <c r="D35" s="367"/>
      <c r="E35" s="370"/>
      <c r="F35" s="370"/>
      <c r="G35" s="401"/>
      <c r="H35" s="407"/>
      <c r="I35" s="407"/>
      <c r="J35" s="410"/>
      <c r="K35" s="407"/>
      <c r="L35" s="407"/>
      <c r="M35" s="426"/>
      <c r="N35" s="428"/>
      <c r="O35" s="430"/>
      <c r="P35" s="428"/>
      <c r="Q35" s="353"/>
      <c r="R35" s="356"/>
      <c r="T35" s="24"/>
    </row>
    <row r="36" spans="1:55" ht="14.1" customHeight="1" x14ac:dyDescent="0.2">
      <c r="B36" s="368"/>
      <c r="C36" s="357"/>
      <c r="D36" s="367"/>
      <c r="E36" s="371"/>
      <c r="F36" s="371"/>
      <c r="G36" s="402"/>
      <c r="H36" s="408"/>
      <c r="I36" s="408"/>
      <c r="J36" s="411"/>
      <c r="K36" s="408"/>
      <c r="L36" s="408"/>
      <c r="M36" s="427"/>
      <c r="N36" s="379"/>
      <c r="O36" s="431"/>
      <c r="P36" s="379"/>
      <c r="Q36" s="354"/>
      <c r="R36" s="357"/>
      <c r="T36" s="24"/>
    </row>
    <row r="37" spans="1:55" ht="15" customHeight="1" x14ac:dyDescent="0.25">
      <c r="A37" s="480">
        <v>15050100</v>
      </c>
      <c r="B37" s="358" t="s">
        <v>79</v>
      </c>
      <c r="C37" s="359"/>
      <c r="D37" s="525" t="s">
        <v>168</v>
      </c>
      <c r="E37" s="526" t="s">
        <v>169</v>
      </c>
      <c r="F37" s="526" t="s">
        <v>170</v>
      </c>
      <c r="G37" s="527" t="s">
        <v>171</v>
      </c>
      <c r="H37" s="528" t="s">
        <v>172</v>
      </c>
      <c r="I37" s="528" t="s">
        <v>173</v>
      </c>
      <c r="J37" s="528" t="s">
        <v>174</v>
      </c>
      <c r="K37" s="528" t="s">
        <v>175</v>
      </c>
      <c r="L37" s="528" t="s">
        <v>176</v>
      </c>
      <c r="M37" s="529" t="s">
        <v>177</v>
      </c>
      <c r="N37" s="530" t="s">
        <v>178</v>
      </c>
      <c r="O37" s="531" t="s">
        <v>179</v>
      </c>
      <c r="P37" s="527" t="s">
        <v>180</v>
      </c>
      <c r="Q37" s="528" t="s">
        <v>181</v>
      </c>
      <c r="R37" s="532" t="s">
        <v>182</v>
      </c>
      <c r="S37" s="200" t="e">
        <f>AB37</f>
        <v>#VALUE!</v>
      </c>
      <c r="T37" s="24"/>
      <c r="AB37" s="308" t="e">
        <f>IF(AND($D37&lt;&gt;0,$E37="",$F37=""),"* No olvide ingresar la variable hombres y/o mujeres. Digite CERO si no tiene.",IF(SUM($E37+$F37)&lt;&gt;$D37, "*La suma Total de: "&amp;$G$33&amp;""&amp;" + "&amp;$N$33&amp;""&amp;" + "&amp;$P$33&amp;""&amp;" debe ser igual a la suma de Hombres + Mujeres. ",""))</f>
        <v>#VALUE!</v>
      </c>
      <c r="AC37" s="322"/>
      <c r="AD37" s="322"/>
      <c r="AE37" s="322"/>
      <c r="AF37" s="322"/>
      <c r="AG37" s="322"/>
      <c r="AH37" s="322"/>
      <c r="AI37" s="199" t="e">
        <f>IF(AND($D37&lt;&gt;0,$E37="",$F37=""),1,IF(SUM($E37+$F37)&lt;&gt;$D37,1,0))</f>
        <v>#VALUE!</v>
      </c>
      <c r="AJ37" s="323"/>
      <c r="AK37" s="322"/>
      <c r="AL37" s="323"/>
      <c r="AM37" s="323"/>
      <c r="AN37" s="323"/>
      <c r="BB37" s="115"/>
      <c r="BC37" s="115"/>
    </row>
    <row r="38" spans="1:55" ht="15" customHeight="1" x14ac:dyDescent="0.25">
      <c r="A38" s="480">
        <v>15050200</v>
      </c>
      <c r="B38" s="92" t="s">
        <v>85</v>
      </c>
      <c r="C38" s="93"/>
      <c r="D38" s="533" t="s">
        <v>168</v>
      </c>
      <c r="E38" s="534" t="s">
        <v>169</v>
      </c>
      <c r="F38" s="534" t="s">
        <v>170</v>
      </c>
      <c r="G38" s="527" t="s">
        <v>171</v>
      </c>
      <c r="H38" s="528" t="s">
        <v>172</v>
      </c>
      <c r="I38" s="528" t="s">
        <v>173</v>
      </c>
      <c r="J38" s="528" t="s">
        <v>174</v>
      </c>
      <c r="K38" s="528" t="s">
        <v>175</v>
      </c>
      <c r="L38" s="528" t="s">
        <v>176</v>
      </c>
      <c r="M38" s="535" t="s">
        <v>177</v>
      </c>
      <c r="N38" s="536" t="s">
        <v>178</v>
      </c>
      <c r="O38" s="532" t="s">
        <v>179</v>
      </c>
      <c r="P38" s="527" t="s">
        <v>180</v>
      </c>
      <c r="Q38" s="528" t="s">
        <v>181</v>
      </c>
      <c r="R38" s="532" t="s">
        <v>182</v>
      </c>
      <c r="S38" s="200" t="e">
        <f>AB38</f>
        <v>#VALUE!</v>
      </c>
      <c r="T38" s="24"/>
      <c r="AB38" s="308" t="e">
        <f t="shared" ref="AB38:AB42" si="4">IF(AND($D38&lt;&gt;0,$E38="",$F38=""),"* No olvide ingresar la variable hombres y/o mujeres. Digite CERO si no tiene.",IF(SUM($E38+$F38)&lt;&gt;$D38, "*La suma Total de: "&amp;$G$33&amp;""&amp;" + "&amp;$N$33&amp;""&amp;" + "&amp;$P$33&amp;""&amp;" debe ser igual a la suma de Hombres + Mujeres. ",""))</f>
        <v>#VALUE!</v>
      </c>
      <c r="AC38" s="322"/>
      <c r="AD38" s="322"/>
      <c r="AE38" s="322"/>
      <c r="AF38" s="322"/>
      <c r="AG38" s="322"/>
      <c r="AI38" s="199" t="e">
        <f t="shared" ref="AI38:AI42" si="5">IF(AND($D38&lt;&gt;0,$E38="",$F38=""),1,IF(SUM($E38+$F38)&lt;&gt;$D38,1,0))</f>
        <v>#VALUE!</v>
      </c>
      <c r="AJ38" s="323"/>
      <c r="AK38" s="323"/>
      <c r="AL38" s="323"/>
      <c r="AM38" s="323"/>
      <c r="AN38" s="323"/>
      <c r="BB38" s="115"/>
      <c r="BC38" s="115"/>
    </row>
    <row r="39" spans="1:55" ht="15" customHeight="1" x14ac:dyDescent="0.2">
      <c r="A39" s="480">
        <v>15050500</v>
      </c>
      <c r="B39" s="387" t="s">
        <v>87</v>
      </c>
      <c r="C39" s="388"/>
      <c r="D39" s="537" t="s">
        <v>168</v>
      </c>
      <c r="E39" s="534" t="s">
        <v>169</v>
      </c>
      <c r="F39" s="534" t="s">
        <v>170</v>
      </c>
      <c r="G39" s="538" t="s">
        <v>171</v>
      </c>
      <c r="H39" s="539" t="s">
        <v>172</v>
      </c>
      <c r="I39" s="539" t="s">
        <v>173</v>
      </c>
      <c r="J39" s="509" t="s">
        <v>174</v>
      </c>
      <c r="K39" s="508" t="s">
        <v>175</v>
      </c>
      <c r="L39" s="508" t="s">
        <v>176</v>
      </c>
      <c r="M39" s="510" t="s">
        <v>177</v>
      </c>
      <c r="N39" s="540" t="s">
        <v>178</v>
      </c>
      <c r="O39" s="541" t="s">
        <v>179</v>
      </c>
      <c r="P39" s="542" t="s">
        <v>180</v>
      </c>
      <c r="Q39" s="543" t="s">
        <v>181</v>
      </c>
      <c r="R39" s="541" t="s">
        <v>182</v>
      </c>
      <c r="S39" s="200" t="e">
        <f t="shared" ref="S39:S40" si="6">AB39</f>
        <v>#VALUE!</v>
      </c>
      <c r="T39" s="24"/>
      <c r="AB39" s="308" t="e">
        <f t="shared" si="4"/>
        <v>#VALUE!</v>
      </c>
      <c r="AC39" s="323"/>
      <c r="AD39" s="323"/>
      <c r="AE39" s="323"/>
      <c r="AF39" s="323"/>
      <c r="AG39" s="28"/>
      <c r="AI39" s="199" t="e">
        <f t="shared" si="5"/>
        <v>#VALUE!</v>
      </c>
      <c r="AJ39" s="323"/>
      <c r="AK39" s="323"/>
      <c r="AL39" s="323"/>
      <c r="AM39" s="323"/>
      <c r="AN39" s="323"/>
      <c r="BB39" s="115"/>
      <c r="BC39" s="115"/>
    </row>
    <row r="40" spans="1:55" ht="15" customHeight="1" x14ac:dyDescent="0.2">
      <c r="A40" s="480">
        <v>15900050</v>
      </c>
      <c r="B40" s="327" t="s">
        <v>96</v>
      </c>
      <c r="C40" s="105"/>
      <c r="D40" s="544" t="s">
        <v>168</v>
      </c>
      <c r="E40" s="545" t="s">
        <v>169</v>
      </c>
      <c r="F40" s="545" t="s">
        <v>170</v>
      </c>
      <c r="G40" s="546" t="s">
        <v>171</v>
      </c>
      <c r="H40" s="547" t="s">
        <v>172</v>
      </c>
      <c r="I40" s="547" t="s">
        <v>173</v>
      </c>
      <c r="J40" s="547" t="s">
        <v>174</v>
      </c>
      <c r="K40" s="547" t="s">
        <v>175</v>
      </c>
      <c r="L40" s="548" t="s">
        <v>176</v>
      </c>
      <c r="M40" s="549" t="s">
        <v>177</v>
      </c>
      <c r="N40" s="550" t="s">
        <v>178</v>
      </c>
      <c r="O40" s="551" t="s">
        <v>179</v>
      </c>
      <c r="P40" s="552" t="s">
        <v>180</v>
      </c>
      <c r="Q40" s="553" t="s">
        <v>181</v>
      </c>
      <c r="R40" s="551" t="s">
        <v>182</v>
      </c>
      <c r="S40" s="200" t="e">
        <f t="shared" si="6"/>
        <v>#VALUE!</v>
      </c>
      <c r="T40" s="24"/>
      <c r="AB40" s="308" t="e">
        <f t="shared" si="4"/>
        <v>#VALUE!</v>
      </c>
      <c r="AC40" s="323"/>
      <c r="AD40" s="323"/>
      <c r="AE40" s="323"/>
      <c r="AF40" s="323"/>
      <c r="AG40" s="28"/>
      <c r="AI40" s="199" t="e">
        <f t="shared" si="5"/>
        <v>#VALUE!</v>
      </c>
      <c r="AJ40" s="323"/>
      <c r="AK40" s="323"/>
      <c r="AL40" s="323"/>
      <c r="AM40" s="323"/>
      <c r="AN40" s="323"/>
      <c r="BB40" s="115"/>
      <c r="BC40" s="115"/>
    </row>
    <row r="41" spans="1:55" ht="15" customHeight="1" x14ac:dyDescent="0.25">
      <c r="A41" s="483"/>
      <c r="B41" s="389" t="s">
        <v>97</v>
      </c>
      <c r="C41" s="390"/>
      <c r="D41" s="107">
        <f>SUM(E41:F41)</f>
        <v>0</v>
      </c>
      <c r="E41" s="107">
        <f>SUM(E37:E40)</f>
        <v>0</v>
      </c>
      <c r="F41" s="107">
        <f t="shared" ref="F41:I41" si="7">SUM(F37:F40)</f>
        <v>0</v>
      </c>
      <c r="G41" s="108">
        <f t="shared" si="7"/>
        <v>0</v>
      </c>
      <c r="H41" s="123">
        <f t="shared" si="7"/>
        <v>0</v>
      </c>
      <c r="I41" s="123">
        <f t="shared" si="7"/>
        <v>0</v>
      </c>
      <c r="J41" s="123" t="e">
        <f t="shared" ref="J41:K41" si="8">SUM(J37:J38)+J40</f>
        <v>#VALUE!</v>
      </c>
      <c r="K41" s="123" t="e">
        <f t="shared" si="8"/>
        <v>#VALUE!</v>
      </c>
      <c r="L41" s="123" t="e">
        <f>SUM(L37:L38)+L40</f>
        <v>#VALUE!</v>
      </c>
      <c r="M41" s="321" t="e">
        <f>SUM(M37:M38)+M40</f>
        <v>#VALUE!</v>
      </c>
      <c r="N41" s="320">
        <f>SUM(N37)</f>
        <v>0</v>
      </c>
      <c r="O41" s="122">
        <f>SUM(O38)</f>
        <v>0</v>
      </c>
      <c r="P41" s="108">
        <f>SUM(P37:P38)</f>
        <v>0</v>
      </c>
      <c r="Q41" s="123">
        <f t="shared" ref="Q41:R41" si="9">SUM(Q37:Q38)</f>
        <v>0</v>
      </c>
      <c r="R41" s="122">
        <f t="shared" si="9"/>
        <v>0</v>
      </c>
      <c r="S41" s="200"/>
      <c r="T41" s="24"/>
      <c r="AB41" s="28"/>
      <c r="AC41" s="28"/>
      <c r="AD41" s="28"/>
      <c r="AE41" s="28"/>
      <c r="AF41" s="28"/>
      <c r="AI41" s="28"/>
      <c r="AJ41" s="28"/>
      <c r="AK41" s="28"/>
      <c r="AL41" s="28"/>
      <c r="AM41" s="28"/>
      <c r="BB41" s="115"/>
      <c r="BC41" s="115"/>
    </row>
    <row r="42" spans="1:55" ht="15" customHeight="1" x14ac:dyDescent="0.25">
      <c r="A42" s="480">
        <v>15900060</v>
      </c>
      <c r="B42" s="435" t="s">
        <v>98</v>
      </c>
      <c r="C42" s="436"/>
      <c r="D42" s="554" t="s">
        <v>168</v>
      </c>
      <c r="E42" s="555" t="s">
        <v>169</v>
      </c>
      <c r="F42" s="556" t="s">
        <v>170</v>
      </c>
      <c r="G42" s="557" t="s">
        <v>171</v>
      </c>
      <c r="H42" s="558" t="s">
        <v>172</v>
      </c>
      <c r="I42" s="558" t="s">
        <v>173</v>
      </c>
      <c r="J42" s="558" t="s">
        <v>174</v>
      </c>
      <c r="K42" s="558" t="s">
        <v>175</v>
      </c>
      <c r="L42" s="558" t="s">
        <v>176</v>
      </c>
      <c r="M42" s="559" t="s">
        <v>177</v>
      </c>
      <c r="N42" s="556" t="s">
        <v>178</v>
      </c>
      <c r="O42" s="560" t="s">
        <v>179</v>
      </c>
      <c r="P42" s="557" t="s">
        <v>180</v>
      </c>
      <c r="Q42" s="558" t="s">
        <v>181</v>
      </c>
      <c r="R42" s="560" t="s">
        <v>182</v>
      </c>
      <c r="S42" s="200" t="e">
        <f>AB42</f>
        <v>#VALUE!</v>
      </c>
      <c r="AB42" s="308" t="e">
        <f t="shared" si="4"/>
        <v>#VALUE!</v>
      </c>
      <c r="AC42" s="322"/>
      <c r="AD42" s="322"/>
      <c r="AE42" s="322"/>
      <c r="AF42" s="322"/>
      <c r="AG42" s="322"/>
      <c r="AI42" s="199" t="e">
        <f t="shared" si="5"/>
        <v>#VALUE!</v>
      </c>
      <c r="AJ42" s="323"/>
      <c r="AK42" s="323"/>
      <c r="AL42" s="323"/>
      <c r="AM42" s="323"/>
      <c r="AN42" s="323"/>
      <c r="BB42" s="115"/>
      <c r="BC42" s="115"/>
    </row>
    <row r="43" spans="1:55" ht="15" customHeight="1" x14ac:dyDescent="0.2">
      <c r="B43" s="28" t="s">
        <v>99</v>
      </c>
      <c r="AB43" s="116"/>
      <c r="AC43" s="116"/>
      <c r="AD43" s="116"/>
      <c r="AE43" s="116"/>
      <c r="AF43" s="116"/>
      <c r="AG43" s="116"/>
      <c r="AH43" s="116"/>
      <c r="AI43" s="116"/>
      <c r="AJ43" s="116"/>
    </row>
    <row r="44" spans="1:55" ht="15" customHeight="1" x14ac:dyDescent="0.2">
      <c r="AB44" s="116"/>
      <c r="AC44" s="116"/>
      <c r="AD44" s="116"/>
      <c r="AE44" s="116"/>
      <c r="AF44" s="116"/>
      <c r="AG44" s="116"/>
      <c r="AH44" s="116"/>
      <c r="AI44" s="116"/>
      <c r="AJ44" s="116"/>
    </row>
    <row r="45" spans="1:55" ht="30" customHeight="1" x14ac:dyDescent="0.2">
      <c r="B45" s="274" t="s">
        <v>100</v>
      </c>
      <c r="AB45" s="116"/>
    </row>
    <row r="46" spans="1:55" ht="21" customHeight="1" x14ac:dyDescent="0.2">
      <c r="B46" s="369" t="s">
        <v>61</v>
      </c>
      <c r="C46" s="391" t="s">
        <v>62</v>
      </c>
      <c r="D46" s="391" t="s">
        <v>63</v>
      </c>
      <c r="E46" s="394" t="s">
        <v>64</v>
      </c>
      <c r="F46" s="395"/>
      <c r="G46" s="395"/>
      <c r="H46" s="395"/>
      <c r="I46" s="395"/>
      <c r="J46" s="395"/>
      <c r="K46" s="395"/>
      <c r="L46" s="394" t="s">
        <v>65</v>
      </c>
      <c r="M46" s="396"/>
      <c r="N46" s="397" t="s">
        <v>66</v>
      </c>
      <c r="O46" s="398"/>
      <c r="P46" s="399"/>
      <c r="AC46" s="116"/>
    </row>
    <row r="47" spans="1:55" ht="14.1" customHeight="1" x14ac:dyDescent="0.2">
      <c r="B47" s="370"/>
      <c r="C47" s="392"/>
      <c r="D47" s="392"/>
      <c r="E47" s="400" t="s">
        <v>67</v>
      </c>
      <c r="F47" s="403" t="s">
        <v>68</v>
      </c>
      <c r="G47" s="406" t="s">
        <v>69</v>
      </c>
      <c r="H47" s="409" t="s">
        <v>70</v>
      </c>
      <c r="I47" s="406" t="s">
        <v>71</v>
      </c>
      <c r="J47" s="406" t="s">
        <v>72</v>
      </c>
      <c r="K47" s="412" t="s">
        <v>73</v>
      </c>
      <c r="L47" s="415" t="s">
        <v>74</v>
      </c>
      <c r="M47" s="380" t="s">
        <v>75</v>
      </c>
      <c r="N47" s="415" t="s">
        <v>76</v>
      </c>
      <c r="O47" s="352" t="s">
        <v>77</v>
      </c>
      <c r="P47" s="419" t="s">
        <v>78</v>
      </c>
      <c r="AC47" s="116"/>
    </row>
    <row r="48" spans="1:55" ht="14.1" customHeight="1" x14ac:dyDescent="0.2">
      <c r="B48" s="370"/>
      <c r="C48" s="392"/>
      <c r="D48" s="392"/>
      <c r="E48" s="401"/>
      <c r="F48" s="404"/>
      <c r="G48" s="407"/>
      <c r="H48" s="410"/>
      <c r="I48" s="407"/>
      <c r="J48" s="407"/>
      <c r="K48" s="413"/>
      <c r="L48" s="416"/>
      <c r="M48" s="418"/>
      <c r="N48" s="416"/>
      <c r="O48" s="353"/>
      <c r="P48" s="420"/>
      <c r="AC48" s="116"/>
    </row>
    <row r="49" spans="1:38" ht="14.1" customHeight="1" x14ac:dyDescent="0.2">
      <c r="B49" s="371"/>
      <c r="C49" s="393"/>
      <c r="D49" s="393"/>
      <c r="E49" s="402"/>
      <c r="F49" s="405"/>
      <c r="G49" s="408"/>
      <c r="H49" s="411"/>
      <c r="I49" s="408"/>
      <c r="J49" s="408"/>
      <c r="K49" s="414"/>
      <c r="L49" s="417"/>
      <c r="M49" s="381"/>
      <c r="N49" s="417"/>
      <c r="O49" s="354"/>
      <c r="P49" s="421"/>
    </row>
    <row r="50" spans="1:38" ht="15" customHeight="1" x14ac:dyDescent="0.2">
      <c r="A50" s="480">
        <v>15080018</v>
      </c>
      <c r="B50" s="370" t="s">
        <v>79</v>
      </c>
      <c r="C50" s="175" t="s">
        <v>80</v>
      </c>
      <c r="D50" s="485" t="s">
        <v>168</v>
      </c>
      <c r="E50" s="528" t="s">
        <v>169</v>
      </c>
      <c r="F50" s="528" t="s">
        <v>170</v>
      </c>
      <c r="G50" s="528" t="s">
        <v>171</v>
      </c>
      <c r="H50" s="528" t="s">
        <v>172</v>
      </c>
      <c r="I50" s="528" t="s">
        <v>173</v>
      </c>
      <c r="J50" s="561" t="s">
        <v>174</v>
      </c>
      <c r="K50" s="562" t="s">
        <v>175</v>
      </c>
      <c r="L50" s="563" t="s">
        <v>176</v>
      </c>
      <c r="M50" s="562" t="s">
        <v>177</v>
      </c>
      <c r="N50" s="564" t="s">
        <v>178</v>
      </c>
      <c r="O50" s="565" t="s">
        <v>179</v>
      </c>
      <c r="P50" s="562" t="s">
        <v>180</v>
      </c>
      <c r="Q50" s="176"/>
      <c r="R50" s="176"/>
      <c r="S50" s="176"/>
      <c r="T50" s="176"/>
      <c r="U50" s="176"/>
      <c r="V50" s="176"/>
      <c r="W50" s="176"/>
      <c r="AB50" s="116"/>
      <c r="AC50" s="116"/>
      <c r="AD50" s="116"/>
      <c r="AE50" s="116"/>
      <c r="AF50" s="116"/>
      <c r="AG50" s="116"/>
      <c r="AH50" s="116"/>
      <c r="AI50" s="116"/>
      <c r="AJ50" s="116"/>
    </row>
    <row r="51" spans="1:38" ht="15" customHeight="1" x14ac:dyDescent="0.2">
      <c r="A51" s="480">
        <v>15080019</v>
      </c>
      <c r="B51" s="370"/>
      <c r="C51" s="175" t="s">
        <v>81</v>
      </c>
      <c r="D51" s="485" t="s">
        <v>168</v>
      </c>
      <c r="E51" s="494" t="s">
        <v>169</v>
      </c>
      <c r="F51" s="495" t="s">
        <v>170</v>
      </c>
      <c r="G51" s="496" t="s">
        <v>171</v>
      </c>
      <c r="H51" s="497" t="s">
        <v>172</v>
      </c>
      <c r="I51" s="566" t="s">
        <v>173</v>
      </c>
      <c r="J51" s="528" t="s">
        <v>174</v>
      </c>
      <c r="K51" s="567" t="s">
        <v>175</v>
      </c>
      <c r="L51" s="568" t="s">
        <v>176</v>
      </c>
      <c r="M51" s="569" t="s">
        <v>177</v>
      </c>
      <c r="N51" s="568" t="s">
        <v>178</v>
      </c>
      <c r="O51" s="570" t="s">
        <v>179</v>
      </c>
      <c r="P51" s="571" t="s">
        <v>180</v>
      </c>
      <c r="Q51" s="177"/>
      <c r="AB51" s="116"/>
      <c r="AC51" s="116"/>
      <c r="AD51" s="116"/>
      <c r="AE51" s="116"/>
      <c r="AF51" s="116"/>
      <c r="AG51" s="116"/>
      <c r="AH51" s="116"/>
      <c r="AI51" s="116"/>
      <c r="AJ51" s="116"/>
    </row>
    <row r="52" spans="1:38" ht="15" customHeight="1" x14ac:dyDescent="0.2">
      <c r="A52" s="480">
        <v>15080010</v>
      </c>
      <c r="B52" s="370"/>
      <c r="C52" s="86" t="s">
        <v>82</v>
      </c>
      <c r="D52" s="572" t="s">
        <v>168</v>
      </c>
      <c r="E52" s="573" t="s">
        <v>169</v>
      </c>
      <c r="F52" s="507" t="s">
        <v>170</v>
      </c>
      <c r="G52" s="508" t="s">
        <v>171</v>
      </c>
      <c r="H52" s="509" t="s">
        <v>172</v>
      </c>
      <c r="I52" s="508" t="s">
        <v>173</v>
      </c>
      <c r="J52" s="508" t="s">
        <v>174</v>
      </c>
      <c r="K52" s="574" t="s">
        <v>175</v>
      </c>
      <c r="L52" s="575" t="s">
        <v>176</v>
      </c>
      <c r="M52" s="569" t="s">
        <v>177</v>
      </c>
      <c r="N52" s="576" t="s">
        <v>178</v>
      </c>
      <c r="O52" s="577" t="s">
        <v>179</v>
      </c>
      <c r="P52" s="578" t="s">
        <v>180</v>
      </c>
      <c r="Q52" s="28" t="str">
        <f>$AB52&amp;$AC52&amp;$AD52&amp;$AE52</f>
        <v/>
      </c>
      <c r="R52" s="178"/>
      <c r="S52" s="178"/>
      <c r="T52" s="178"/>
      <c r="U52" s="178"/>
      <c r="V52" s="178"/>
      <c r="W52" s="178"/>
      <c r="AB52" s="308" t="str">
        <f>IF(AND(SUM(L51,L52)&lt;&gt;0,N75=""),"* No olvide digitar la Sección D, Nº de personas intrasistema que retiran, en el grupo de Gestantes/Normal, Sobrepeso y Obesas..","")</f>
        <v/>
      </c>
      <c r="AC52" s="308" t="str">
        <f>IF(AND(SUM(N51,N52)&lt;&gt;0,P75=""),"* No olvide digitar la Sección D, Nº de personas intrasistema que retiran, en el grupo Persona que amamanta a  hijo/a menor a 12 meses: 0 a 5 meses con Lactancia Materna Exclusiva.","")</f>
        <v/>
      </c>
      <c r="AD52" s="308" t="str">
        <f>IF(AND(SUM(O51,O52)&lt;&gt;0,Q75=""),"* No olvide digitar la Sección D, Nº de personas intrasistema que retiran, en el grupo Persona que amamanta a  hijo/a menor a 12 meses: 0 a 5 meses con Lactancia Materna + Formula Lactea.","")</f>
        <v/>
      </c>
      <c r="AE52" s="308" t="str">
        <f>IF(AND(SUM(P51,P52)&lt;&gt;0,R75=""),"* No olvide digitar la Sección D, Nº de personas intrasistema que retiran, en el grupo Persona que amamanta a  hijo/a menor a 12 meses: 6 a 11 meses Lactancia Materna.","")</f>
        <v/>
      </c>
      <c r="AG52" s="323"/>
      <c r="AH52" s="323"/>
      <c r="AI52" s="36">
        <f>IF(AND(OR(L51&lt;&gt;0,L52&lt;&gt;0),N75=""),1,0)</f>
        <v>0</v>
      </c>
      <c r="AJ52" s="36">
        <f>IF(AND(SUM(N51,N52)&lt;&gt;0,P75=""),1,0)</f>
        <v>0</v>
      </c>
      <c r="AK52" s="36">
        <f>IF(AND(SUM(O51,O52)&lt;&gt;0,Q75=""),1,0)</f>
        <v>0</v>
      </c>
      <c r="AL52" s="36">
        <f>IF(AND(SUM(P51,P52)&lt;&gt;0,R75=""),1,0)</f>
        <v>0</v>
      </c>
    </row>
    <row r="53" spans="1:38" ht="15" customHeight="1" x14ac:dyDescent="0.2">
      <c r="A53" s="480">
        <v>15900070</v>
      </c>
      <c r="B53" s="370"/>
      <c r="C53" s="86" t="s">
        <v>83</v>
      </c>
      <c r="D53" s="579" t="s">
        <v>168</v>
      </c>
      <c r="E53" s="580" t="s">
        <v>169</v>
      </c>
      <c r="F53" s="580" t="s">
        <v>170</v>
      </c>
      <c r="G53" s="580" t="s">
        <v>171</v>
      </c>
      <c r="H53" s="581" t="s">
        <v>172</v>
      </c>
      <c r="I53" s="581" t="s">
        <v>173</v>
      </c>
      <c r="J53" s="581" t="s">
        <v>174</v>
      </c>
      <c r="K53" s="582" t="s">
        <v>175</v>
      </c>
      <c r="L53" s="583" t="s">
        <v>176</v>
      </c>
      <c r="M53" s="584" t="s">
        <v>177</v>
      </c>
      <c r="N53" s="585" t="s">
        <v>178</v>
      </c>
      <c r="O53" s="586" t="s">
        <v>179</v>
      </c>
      <c r="P53" s="587" t="s">
        <v>180</v>
      </c>
    </row>
    <row r="54" spans="1:38" ht="15" customHeight="1" x14ac:dyDescent="0.2">
      <c r="A54" s="481"/>
      <c r="B54" s="371"/>
      <c r="C54" s="29" t="s">
        <v>84</v>
      </c>
      <c r="D54" s="240" t="e">
        <f>SUM(E54:P54)</f>
        <v>#VALUE!</v>
      </c>
      <c r="E54" s="110" t="e">
        <f>SUM(E50+E53)</f>
        <v>#VALUE!</v>
      </c>
      <c r="F54" s="111" t="e">
        <f>SUM(F50+F53)</f>
        <v>#VALUE!</v>
      </c>
      <c r="G54" s="112" t="e">
        <f>SUM(G50+G53)</f>
        <v>#VALUE!</v>
      </c>
      <c r="H54" s="202">
        <f>SUM(H50)</f>
        <v>0</v>
      </c>
      <c r="I54" s="202">
        <f>SUM(I50)</f>
        <v>0</v>
      </c>
      <c r="J54" s="202">
        <f>SUM(J51)</f>
        <v>0</v>
      </c>
      <c r="K54" s="204">
        <f>SUM(K51)</f>
        <v>0</v>
      </c>
      <c r="L54" s="205">
        <f>SUM(L51:L52)</f>
        <v>0</v>
      </c>
      <c r="M54" s="275"/>
      <c r="N54" s="206">
        <f>SUM(N51:N52)</f>
        <v>0</v>
      </c>
      <c r="O54" s="201">
        <f>SUM(O51:O52)</f>
        <v>0</v>
      </c>
      <c r="P54" s="203">
        <f>SUM(P51:P52)</f>
        <v>0</v>
      </c>
    </row>
    <row r="55" spans="1:38" ht="15" customHeight="1" x14ac:dyDescent="0.2">
      <c r="A55" s="480">
        <v>15080020</v>
      </c>
      <c r="B55" s="370" t="s">
        <v>85</v>
      </c>
      <c r="C55" s="175" t="s">
        <v>80</v>
      </c>
      <c r="D55" s="485" t="s">
        <v>168</v>
      </c>
      <c r="E55" s="588" t="s">
        <v>169</v>
      </c>
      <c r="F55" s="589" t="s">
        <v>170</v>
      </c>
      <c r="G55" s="589" t="s">
        <v>171</v>
      </c>
      <c r="H55" s="589" t="s">
        <v>172</v>
      </c>
      <c r="I55" s="589" t="s">
        <v>173</v>
      </c>
      <c r="J55" s="590" t="s">
        <v>174</v>
      </c>
      <c r="K55" s="591" t="s">
        <v>175</v>
      </c>
      <c r="L55" s="592" t="s">
        <v>176</v>
      </c>
      <c r="M55" s="593" t="s">
        <v>177</v>
      </c>
      <c r="N55" s="594" t="s">
        <v>178</v>
      </c>
      <c r="O55" s="561" t="s">
        <v>179</v>
      </c>
      <c r="P55" s="593" t="s">
        <v>180</v>
      </c>
      <c r="Q55" s="179"/>
      <c r="R55" s="179"/>
      <c r="S55" s="179"/>
      <c r="T55" s="179"/>
      <c r="U55" s="179"/>
      <c r="V55" s="179"/>
      <c r="W55" s="179"/>
      <c r="AB55" s="116"/>
      <c r="AC55" s="116"/>
      <c r="AD55" s="116"/>
      <c r="AE55" s="116"/>
      <c r="AF55" s="116"/>
      <c r="AG55" s="116"/>
      <c r="AH55" s="116"/>
      <c r="AI55" s="116"/>
      <c r="AJ55" s="116"/>
    </row>
    <row r="56" spans="1:38" ht="15" customHeight="1" x14ac:dyDescent="0.2">
      <c r="A56" s="480">
        <v>15080021</v>
      </c>
      <c r="B56" s="370"/>
      <c r="C56" s="86" t="s">
        <v>81</v>
      </c>
      <c r="D56" s="595" t="s">
        <v>168</v>
      </c>
      <c r="E56" s="494" t="s">
        <v>169</v>
      </c>
      <c r="F56" s="498" t="s">
        <v>170</v>
      </c>
      <c r="G56" s="496" t="s">
        <v>171</v>
      </c>
      <c r="H56" s="496" t="s">
        <v>172</v>
      </c>
      <c r="I56" s="487" t="s">
        <v>173</v>
      </c>
      <c r="J56" s="487" t="s">
        <v>174</v>
      </c>
      <c r="K56" s="596" t="s">
        <v>175</v>
      </c>
      <c r="L56" s="597" t="s">
        <v>176</v>
      </c>
      <c r="M56" s="571" t="s">
        <v>177</v>
      </c>
      <c r="N56" s="568" t="s">
        <v>178</v>
      </c>
      <c r="O56" s="570" t="s">
        <v>179</v>
      </c>
      <c r="P56" s="571" t="s">
        <v>180</v>
      </c>
      <c r="Q56" s="176"/>
      <c r="R56" s="176"/>
      <c r="S56" s="176"/>
      <c r="T56" s="176"/>
      <c r="U56" s="176"/>
      <c r="V56" s="176"/>
      <c r="W56" s="176"/>
      <c r="AB56" s="116"/>
      <c r="AC56" s="116"/>
      <c r="AD56" s="116"/>
      <c r="AE56" s="116"/>
      <c r="AF56" s="116"/>
      <c r="AG56" s="116"/>
      <c r="AH56" s="116"/>
      <c r="AI56" s="116"/>
      <c r="AJ56" s="116"/>
    </row>
    <row r="57" spans="1:38" ht="15" customHeight="1" x14ac:dyDescent="0.2">
      <c r="A57" s="480">
        <v>15020500</v>
      </c>
      <c r="B57" s="370"/>
      <c r="C57" s="86" t="s">
        <v>86</v>
      </c>
      <c r="D57" s="595" t="s">
        <v>168</v>
      </c>
      <c r="E57" s="494" t="s">
        <v>169</v>
      </c>
      <c r="F57" s="528" t="s">
        <v>170</v>
      </c>
      <c r="G57" s="528" t="s">
        <v>171</v>
      </c>
      <c r="H57" s="528" t="s">
        <v>172</v>
      </c>
      <c r="I57" s="528" t="s">
        <v>173</v>
      </c>
      <c r="J57" s="528" t="s">
        <v>174</v>
      </c>
      <c r="K57" s="567" t="s">
        <v>175</v>
      </c>
      <c r="L57" s="597" t="s">
        <v>176</v>
      </c>
      <c r="M57" s="598" t="s">
        <v>177</v>
      </c>
      <c r="N57" s="599" t="s">
        <v>178</v>
      </c>
      <c r="O57" s="600" t="s">
        <v>179</v>
      </c>
      <c r="P57" s="598" t="s">
        <v>180</v>
      </c>
      <c r="Q57" s="178" t="str">
        <f>AB57&amp;" "&amp;AC57&amp;" "&amp;AD57&amp;" "&amp;AE57&amp;" "&amp;AB58&amp;" "&amp;AC58</f>
        <v xml:space="preserve">     </v>
      </c>
      <c r="R57" s="178"/>
      <c r="S57" s="178"/>
      <c r="T57" s="178"/>
      <c r="U57" s="178"/>
      <c r="V57" s="178"/>
      <c r="W57" s="178"/>
      <c r="AB57" s="116"/>
      <c r="AC57" s="116"/>
      <c r="AD57" s="116"/>
      <c r="AE57" s="116"/>
      <c r="AG57" s="116"/>
      <c r="AH57" s="116"/>
      <c r="AI57" s="116"/>
      <c r="AJ57" s="116"/>
    </row>
    <row r="58" spans="1:38" ht="15" customHeight="1" x14ac:dyDescent="0.2">
      <c r="A58" s="480">
        <v>15080011</v>
      </c>
      <c r="B58" s="370"/>
      <c r="C58" s="86" t="s">
        <v>82</v>
      </c>
      <c r="D58" s="572" t="s">
        <v>168</v>
      </c>
      <c r="E58" s="494" t="s">
        <v>169</v>
      </c>
      <c r="F58" s="498" t="s">
        <v>170</v>
      </c>
      <c r="G58" s="496" t="s">
        <v>171</v>
      </c>
      <c r="H58" s="496" t="s">
        <v>172</v>
      </c>
      <c r="I58" s="496" t="s">
        <v>173</v>
      </c>
      <c r="J58" s="496" t="s">
        <v>174</v>
      </c>
      <c r="K58" s="569" t="s">
        <v>175</v>
      </c>
      <c r="L58" s="597" t="s">
        <v>176</v>
      </c>
      <c r="M58" s="578" t="s">
        <v>177</v>
      </c>
      <c r="N58" s="576" t="s">
        <v>178</v>
      </c>
      <c r="O58" s="577" t="s">
        <v>179</v>
      </c>
      <c r="P58" s="578" t="s">
        <v>180</v>
      </c>
      <c r="AB58" s="116"/>
      <c r="AC58" s="116"/>
      <c r="AG58" s="116"/>
      <c r="AH58" s="116"/>
    </row>
    <row r="59" spans="1:38" ht="15" customHeight="1" x14ac:dyDescent="0.2">
      <c r="A59" s="480">
        <v>15900080</v>
      </c>
      <c r="B59" s="370"/>
      <c r="C59" s="86" t="s">
        <v>83</v>
      </c>
      <c r="D59" s="516" t="s">
        <v>168</v>
      </c>
      <c r="E59" s="580" t="s">
        <v>169</v>
      </c>
      <c r="F59" s="580" t="s">
        <v>170</v>
      </c>
      <c r="G59" s="580" t="s">
        <v>171</v>
      </c>
      <c r="H59" s="498" t="s">
        <v>172</v>
      </c>
      <c r="I59" s="498" t="s">
        <v>173</v>
      </c>
      <c r="J59" s="498" t="s">
        <v>174</v>
      </c>
      <c r="K59" s="601" t="s">
        <v>175</v>
      </c>
      <c r="L59" s="583" t="s">
        <v>176</v>
      </c>
      <c r="M59" s="584" t="s">
        <v>177</v>
      </c>
      <c r="N59" s="585" t="s">
        <v>178</v>
      </c>
      <c r="O59" s="602" t="s">
        <v>179</v>
      </c>
      <c r="P59" s="584" t="s">
        <v>180</v>
      </c>
      <c r="Q59" s="178" t="str">
        <f>AD58&amp;" "&amp;AE58</f>
        <v xml:space="preserve"> </v>
      </c>
      <c r="R59" s="178"/>
      <c r="S59" s="178"/>
      <c r="T59" s="178"/>
      <c r="U59" s="178"/>
      <c r="V59" s="178"/>
      <c r="W59" s="178"/>
    </row>
    <row r="60" spans="1:38" ht="15" customHeight="1" x14ac:dyDescent="0.2">
      <c r="A60" s="481"/>
      <c r="B60" s="371"/>
      <c r="C60" s="29" t="s">
        <v>84</v>
      </c>
      <c r="D60" s="240" t="e">
        <f>SUM(E60:P60)</f>
        <v>#VALUE!</v>
      </c>
      <c r="E60" s="110" t="e">
        <f>SUM(E55+E59)</f>
        <v>#VALUE!</v>
      </c>
      <c r="F60" s="111" t="e">
        <f>SUM(F55+F57+F59)</f>
        <v>#VALUE!</v>
      </c>
      <c r="G60" s="112" t="e">
        <f>SUM(G55+G57+G59)</f>
        <v>#VALUE!</v>
      </c>
      <c r="H60" s="202" t="e">
        <f>SUM(H55+H57)</f>
        <v>#VALUE!</v>
      </c>
      <c r="I60" s="202" t="e">
        <f>SUM(I55+I57)</f>
        <v>#VALUE!</v>
      </c>
      <c r="J60" s="202" t="e">
        <f>SUM(J55+J57)</f>
        <v>#VALUE!</v>
      </c>
      <c r="K60" s="204" t="e">
        <f>SUM(K55+K57)</f>
        <v>#VALUE!</v>
      </c>
      <c r="L60" s="283"/>
      <c r="M60" s="203" t="e">
        <f>SUM(M56+M58)</f>
        <v>#VALUE!</v>
      </c>
      <c r="N60" s="206" t="e">
        <f>SUM(N56+N58)</f>
        <v>#VALUE!</v>
      </c>
      <c r="O60" s="201" t="e">
        <f>SUM(O56+O58)</f>
        <v>#VALUE!</v>
      </c>
      <c r="P60" s="203" t="e">
        <f>SUM(P56+P58)</f>
        <v>#VALUE!</v>
      </c>
      <c r="Q60" s="30"/>
      <c r="R60" s="30"/>
      <c r="S60" s="30"/>
    </row>
    <row r="61" spans="1:38" ht="15" customHeight="1" x14ac:dyDescent="0.2">
      <c r="A61" s="480">
        <v>15040100</v>
      </c>
      <c r="B61" s="369" t="s">
        <v>87</v>
      </c>
      <c r="C61" s="86" t="s">
        <v>88</v>
      </c>
      <c r="D61" s="516" t="s">
        <v>168</v>
      </c>
      <c r="E61" s="580" t="s">
        <v>169</v>
      </c>
      <c r="F61" s="580" t="s">
        <v>170</v>
      </c>
      <c r="G61" s="580" t="s">
        <v>171</v>
      </c>
      <c r="H61" s="581" t="s">
        <v>172</v>
      </c>
      <c r="I61" s="581" t="s">
        <v>173</v>
      </c>
      <c r="J61" s="581" t="s">
        <v>174</v>
      </c>
      <c r="K61" s="603" t="s">
        <v>175</v>
      </c>
      <c r="L61" s="507" t="s">
        <v>176</v>
      </c>
      <c r="M61" s="604" t="s">
        <v>177</v>
      </c>
      <c r="N61" s="573" t="s">
        <v>178</v>
      </c>
      <c r="O61" s="508" t="s">
        <v>179</v>
      </c>
      <c r="P61" s="604" t="s">
        <v>180</v>
      </c>
      <c r="Q61" s="177"/>
      <c r="AB61" s="116"/>
      <c r="AC61" s="116"/>
      <c r="AD61" s="116"/>
      <c r="AE61" s="116"/>
      <c r="AF61" s="116"/>
      <c r="AG61" s="116"/>
      <c r="AH61" s="116"/>
      <c r="AI61" s="116"/>
      <c r="AJ61" s="116"/>
    </row>
    <row r="62" spans="1:38" ht="15" customHeight="1" x14ac:dyDescent="0.2">
      <c r="A62" s="480">
        <v>15901600</v>
      </c>
      <c r="B62" s="370"/>
      <c r="C62" s="86" t="s">
        <v>89</v>
      </c>
      <c r="D62" s="605" t="s">
        <v>168</v>
      </c>
      <c r="E62" s="580" t="s">
        <v>169</v>
      </c>
      <c r="F62" s="580" t="s">
        <v>170</v>
      </c>
      <c r="G62" s="580" t="s">
        <v>171</v>
      </c>
      <c r="H62" s="566" t="s">
        <v>172</v>
      </c>
      <c r="I62" s="566" t="s">
        <v>173</v>
      </c>
      <c r="J62" s="566" t="s">
        <v>174</v>
      </c>
      <c r="K62" s="606" t="s">
        <v>175</v>
      </c>
      <c r="L62" s="607" t="s">
        <v>176</v>
      </c>
      <c r="M62" s="598" t="s">
        <v>177</v>
      </c>
      <c r="N62" s="494" t="s">
        <v>178</v>
      </c>
      <c r="O62" s="600" t="s">
        <v>179</v>
      </c>
      <c r="P62" s="598" t="s">
        <v>180</v>
      </c>
    </row>
    <row r="63" spans="1:38" ht="15" customHeight="1" x14ac:dyDescent="0.2">
      <c r="A63" s="480">
        <v>15080013</v>
      </c>
      <c r="B63" s="370"/>
      <c r="C63" s="86" t="s">
        <v>86</v>
      </c>
      <c r="D63" s="608" t="s">
        <v>168</v>
      </c>
      <c r="E63" s="494" t="s">
        <v>169</v>
      </c>
      <c r="F63" s="528" t="s">
        <v>170</v>
      </c>
      <c r="G63" s="528" t="s">
        <v>171</v>
      </c>
      <c r="H63" s="566" t="s">
        <v>172</v>
      </c>
      <c r="I63" s="566" t="s">
        <v>173</v>
      </c>
      <c r="J63" s="609" t="s">
        <v>174</v>
      </c>
      <c r="K63" s="610" t="s">
        <v>175</v>
      </c>
      <c r="L63" s="611" t="s">
        <v>176</v>
      </c>
      <c r="M63" s="612" t="s">
        <v>177</v>
      </c>
      <c r="N63" s="613" t="s">
        <v>178</v>
      </c>
      <c r="O63" s="614" t="s">
        <v>179</v>
      </c>
      <c r="P63" s="612" t="s">
        <v>180</v>
      </c>
    </row>
    <row r="64" spans="1:38" ht="15" customHeight="1" x14ac:dyDescent="0.2">
      <c r="A64" s="481"/>
      <c r="B64" s="371"/>
      <c r="C64" s="29" t="s">
        <v>84</v>
      </c>
      <c r="D64" s="240">
        <f>SUM(E64:P64)</f>
        <v>0</v>
      </c>
      <c r="E64" s="110">
        <f>SUM(E61:E62)</f>
        <v>0</v>
      </c>
      <c r="F64" s="111">
        <f>SUM(F61:F63)</f>
        <v>0</v>
      </c>
      <c r="G64" s="112">
        <f>SUM(G61:G63)</f>
        <v>0</v>
      </c>
      <c r="H64" s="276"/>
      <c r="I64" s="276"/>
      <c r="J64" s="276"/>
      <c r="K64" s="284"/>
      <c r="L64" s="278"/>
      <c r="M64" s="277"/>
      <c r="N64" s="278"/>
      <c r="O64" s="276"/>
      <c r="P64" s="277"/>
      <c r="Q64" s="30"/>
      <c r="R64" s="30"/>
      <c r="S64" s="30"/>
    </row>
    <row r="65" spans="1:40" ht="15" customHeight="1" x14ac:dyDescent="0.2">
      <c r="A65" s="480">
        <v>15901200</v>
      </c>
      <c r="B65" s="366" t="s">
        <v>101</v>
      </c>
      <c r="C65" s="86" t="s">
        <v>91</v>
      </c>
      <c r="D65" s="615" t="s">
        <v>168</v>
      </c>
      <c r="E65" s="580" t="s">
        <v>169</v>
      </c>
      <c r="F65" s="580" t="s">
        <v>170</v>
      </c>
      <c r="G65" s="580" t="s">
        <v>171</v>
      </c>
      <c r="H65" s="580" t="s">
        <v>172</v>
      </c>
      <c r="I65" s="580" t="s">
        <v>173</v>
      </c>
      <c r="J65" s="616" t="s">
        <v>174</v>
      </c>
      <c r="K65" s="616" t="s">
        <v>175</v>
      </c>
      <c r="L65" s="617" t="s">
        <v>176</v>
      </c>
      <c r="M65" s="618" t="s">
        <v>177</v>
      </c>
      <c r="N65" s="619" t="s">
        <v>178</v>
      </c>
      <c r="O65" s="620" t="s">
        <v>179</v>
      </c>
      <c r="P65" s="618" t="s">
        <v>180</v>
      </c>
      <c r="Q65" s="30"/>
      <c r="R65" s="30"/>
      <c r="S65" s="30"/>
    </row>
    <row r="66" spans="1:40" ht="15" customHeight="1" x14ac:dyDescent="0.2">
      <c r="A66" s="480">
        <v>15901300</v>
      </c>
      <c r="B66" s="367"/>
      <c r="C66" s="86" t="s">
        <v>92</v>
      </c>
      <c r="D66" s="621" t="s">
        <v>168</v>
      </c>
      <c r="E66" s="622" t="s">
        <v>169</v>
      </c>
      <c r="F66" s="622" t="s">
        <v>170</v>
      </c>
      <c r="G66" s="622" t="s">
        <v>171</v>
      </c>
      <c r="H66" s="622" t="s">
        <v>172</v>
      </c>
      <c r="I66" s="622" t="s">
        <v>173</v>
      </c>
      <c r="J66" s="623" t="s">
        <v>174</v>
      </c>
      <c r="K66" s="623" t="s">
        <v>175</v>
      </c>
      <c r="L66" s="624" t="s">
        <v>176</v>
      </c>
      <c r="M66" s="625" t="s">
        <v>177</v>
      </c>
      <c r="N66" s="626" t="s">
        <v>178</v>
      </c>
      <c r="O66" s="627" t="s">
        <v>179</v>
      </c>
      <c r="P66" s="625" t="s">
        <v>180</v>
      </c>
      <c r="Q66" s="30"/>
      <c r="R66" s="30"/>
      <c r="S66" s="30"/>
    </row>
    <row r="67" spans="1:40" ht="15" customHeight="1" x14ac:dyDescent="0.2">
      <c r="A67" s="481"/>
      <c r="B67" s="368"/>
      <c r="C67" s="114" t="s">
        <v>84</v>
      </c>
      <c r="D67" s="241">
        <f>SUM(E67:P67)</f>
        <v>0</v>
      </c>
      <c r="E67" s="143">
        <f t="shared" ref="E67:K67" si="10">SUM(E65:E66)</f>
        <v>0</v>
      </c>
      <c r="F67" s="144">
        <f t="shared" si="10"/>
        <v>0</v>
      </c>
      <c r="G67" s="144">
        <f t="shared" si="10"/>
        <v>0</v>
      </c>
      <c r="H67" s="144">
        <f t="shared" si="10"/>
        <v>0</v>
      </c>
      <c r="I67" s="144">
        <f t="shared" si="10"/>
        <v>0</v>
      </c>
      <c r="J67" s="144">
        <f t="shared" si="10"/>
        <v>0</v>
      </c>
      <c r="K67" s="148">
        <f t="shared" si="10"/>
        <v>0</v>
      </c>
      <c r="L67" s="279"/>
      <c r="M67" s="280"/>
      <c r="N67" s="279"/>
      <c r="O67" s="281"/>
      <c r="P67" s="282"/>
      <c r="Q67" s="30"/>
      <c r="R67" s="30"/>
      <c r="S67" s="30"/>
    </row>
    <row r="68" spans="1:40" ht="15" customHeight="1" x14ac:dyDescent="0.2">
      <c r="A68" s="481"/>
      <c r="B68" s="362" t="s">
        <v>97</v>
      </c>
      <c r="C68" s="363"/>
      <c r="D68" s="241" t="e">
        <f>SUM(E68:P68)</f>
        <v>#VALUE!</v>
      </c>
      <c r="E68" s="113" t="e">
        <f t="shared" ref="E68:P68" si="11">+E54+E60+E64+E67</f>
        <v>#VALUE!</v>
      </c>
      <c r="F68" s="242" t="e">
        <f t="shared" si="11"/>
        <v>#VALUE!</v>
      </c>
      <c r="G68" s="242" t="e">
        <f t="shared" si="11"/>
        <v>#VALUE!</v>
      </c>
      <c r="H68" s="242" t="e">
        <f t="shared" si="11"/>
        <v>#VALUE!</v>
      </c>
      <c r="I68" s="242" t="e">
        <f t="shared" si="11"/>
        <v>#VALUE!</v>
      </c>
      <c r="J68" s="242" t="e">
        <f t="shared" si="11"/>
        <v>#VALUE!</v>
      </c>
      <c r="K68" s="243" t="e">
        <f t="shared" si="11"/>
        <v>#VALUE!</v>
      </c>
      <c r="L68" s="206">
        <f>+L54</f>
        <v>0</v>
      </c>
      <c r="M68" s="207" t="e">
        <f>M60</f>
        <v>#VALUE!</v>
      </c>
      <c r="N68" s="208" t="e">
        <f t="shared" si="11"/>
        <v>#VALUE!</v>
      </c>
      <c r="O68" s="244" t="e">
        <f t="shared" si="11"/>
        <v>#VALUE!</v>
      </c>
      <c r="P68" s="209" t="e">
        <f t="shared" si="11"/>
        <v>#VALUE!</v>
      </c>
      <c r="Q68" s="30"/>
      <c r="R68" s="30"/>
      <c r="S68" s="30"/>
    </row>
    <row r="69" spans="1:40" ht="19.5" customHeight="1" x14ac:dyDescent="0.2">
      <c r="B69" s="164"/>
      <c r="C69" s="164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30"/>
      <c r="R69" s="30"/>
      <c r="S69" s="30"/>
    </row>
    <row r="70" spans="1:40" ht="29.25" customHeight="1" x14ac:dyDescent="0.2">
      <c r="B70" s="274" t="s">
        <v>102</v>
      </c>
      <c r="D70" s="32"/>
    </row>
    <row r="71" spans="1:40" ht="24" customHeight="1" x14ac:dyDescent="0.2">
      <c r="B71" s="366" t="s">
        <v>61</v>
      </c>
      <c r="C71" s="355"/>
      <c r="D71" s="369" t="s">
        <v>63</v>
      </c>
      <c r="E71" s="369" t="s">
        <v>94</v>
      </c>
      <c r="F71" s="369" t="s">
        <v>103</v>
      </c>
      <c r="G71" s="394" t="s">
        <v>64</v>
      </c>
      <c r="H71" s="395"/>
      <c r="I71" s="395"/>
      <c r="J71" s="395"/>
      <c r="K71" s="395"/>
      <c r="L71" s="395"/>
      <c r="M71" s="396"/>
      <c r="N71" s="394" t="s">
        <v>65</v>
      </c>
      <c r="O71" s="396"/>
      <c r="P71" s="397" t="s">
        <v>66</v>
      </c>
      <c r="Q71" s="398"/>
      <c r="R71" s="399"/>
      <c r="T71" s="24"/>
    </row>
    <row r="72" spans="1:40" ht="15" customHeight="1" x14ac:dyDescent="0.2">
      <c r="B72" s="367"/>
      <c r="C72" s="356"/>
      <c r="D72" s="367"/>
      <c r="E72" s="370"/>
      <c r="F72" s="370"/>
      <c r="G72" s="400" t="s">
        <v>67</v>
      </c>
      <c r="H72" s="403" t="s">
        <v>68</v>
      </c>
      <c r="I72" s="406" t="s">
        <v>69</v>
      </c>
      <c r="J72" s="409" t="s">
        <v>70</v>
      </c>
      <c r="K72" s="406" t="s">
        <v>71</v>
      </c>
      <c r="L72" s="406" t="s">
        <v>72</v>
      </c>
      <c r="M72" s="448" t="s">
        <v>73</v>
      </c>
      <c r="N72" s="415" t="s">
        <v>74</v>
      </c>
      <c r="O72" s="380" t="s">
        <v>75</v>
      </c>
      <c r="P72" s="378" t="s">
        <v>76</v>
      </c>
      <c r="Q72" s="352" t="s">
        <v>77</v>
      </c>
      <c r="R72" s="355" t="s">
        <v>78</v>
      </c>
      <c r="T72" s="24"/>
    </row>
    <row r="73" spans="1:40" ht="15" customHeight="1" x14ac:dyDescent="0.2">
      <c r="B73" s="367"/>
      <c r="C73" s="356"/>
      <c r="D73" s="367"/>
      <c r="E73" s="370"/>
      <c r="F73" s="370"/>
      <c r="G73" s="401"/>
      <c r="H73" s="404"/>
      <c r="I73" s="407"/>
      <c r="J73" s="410"/>
      <c r="K73" s="407"/>
      <c r="L73" s="407"/>
      <c r="M73" s="449"/>
      <c r="N73" s="416"/>
      <c r="O73" s="418"/>
      <c r="P73" s="428"/>
      <c r="Q73" s="353"/>
      <c r="R73" s="356"/>
      <c r="T73" s="24"/>
    </row>
    <row r="74" spans="1:40" ht="15" customHeight="1" x14ac:dyDescent="0.2">
      <c r="B74" s="368"/>
      <c r="C74" s="357"/>
      <c r="D74" s="367"/>
      <c r="E74" s="371"/>
      <c r="F74" s="371"/>
      <c r="G74" s="402"/>
      <c r="H74" s="405"/>
      <c r="I74" s="408"/>
      <c r="J74" s="411"/>
      <c r="K74" s="408"/>
      <c r="L74" s="408"/>
      <c r="M74" s="450"/>
      <c r="N74" s="417"/>
      <c r="O74" s="381"/>
      <c r="P74" s="379"/>
      <c r="Q74" s="354"/>
      <c r="R74" s="357"/>
      <c r="T74" s="24"/>
    </row>
    <row r="75" spans="1:40" ht="15" customHeight="1" x14ac:dyDescent="0.25">
      <c r="A75" s="484">
        <v>15060100</v>
      </c>
      <c r="B75" s="358" t="s">
        <v>79</v>
      </c>
      <c r="C75" s="359"/>
      <c r="D75" s="628" t="s">
        <v>168</v>
      </c>
      <c r="E75" s="526" t="s">
        <v>169</v>
      </c>
      <c r="F75" s="526" t="s">
        <v>170</v>
      </c>
      <c r="G75" s="629" t="s">
        <v>171</v>
      </c>
      <c r="H75" s="630" t="s">
        <v>172</v>
      </c>
      <c r="I75" s="631" t="s">
        <v>173</v>
      </c>
      <c r="J75" s="631" t="s">
        <v>174</v>
      </c>
      <c r="K75" s="631" t="s">
        <v>175</v>
      </c>
      <c r="L75" s="631" t="s">
        <v>176</v>
      </c>
      <c r="M75" s="632" t="s">
        <v>177</v>
      </c>
      <c r="N75" s="629" t="s">
        <v>178</v>
      </c>
      <c r="O75" s="633" t="s">
        <v>179</v>
      </c>
      <c r="P75" s="630" t="s">
        <v>180</v>
      </c>
      <c r="Q75" s="631" t="s">
        <v>181</v>
      </c>
      <c r="R75" s="634" t="s">
        <v>182</v>
      </c>
      <c r="S75" s="200" t="e">
        <f>AB75&amp;AC75&amp;AD75&amp;AE75&amp;AF75&amp;AG75</f>
        <v>#VALUE!</v>
      </c>
      <c r="T75" s="24"/>
      <c r="AA75" s="324"/>
      <c r="AB75" s="308" t="e">
        <f>IF(AND($D75&lt;&gt;0,$E75="",$F75=""),"* No olvide ingresar la variable Hombres y/o Mujeres. Digite CERO si no tiene.",IF(SUM($E75+$F75)&lt;&gt;$D75, "*La suma Total de: "&amp;$G$33&amp;""&amp;" + "&amp;$N$33&amp;""&amp;" + "&amp;$P$33&amp;""&amp;" debe ser igual a la suma de Hombres + Mujeres. ",""))</f>
        <v>#VALUE!</v>
      </c>
      <c r="AC75" s="322"/>
      <c r="AD75" s="322"/>
      <c r="AE75" s="322"/>
      <c r="AF75" s="322"/>
      <c r="AG75" s="322"/>
      <c r="AH75" s="322"/>
      <c r="AI75" s="199" t="e">
        <f t="shared" ref="AI75:AI78" si="12">IF(AND($D75&lt;&gt;0,$E75="",$F75=""),1,IF(SUM($E75+$F75)&lt;&gt;$D75,1,0))</f>
        <v>#VALUE!</v>
      </c>
      <c r="AJ75" s="323"/>
      <c r="AK75" s="322"/>
      <c r="AL75" s="323"/>
      <c r="AM75" s="323"/>
      <c r="AN75" s="323"/>
    </row>
    <row r="76" spans="1:40" ht="15" customHeight="1" x14ac:dyDescent="0.25">
      <c r="A76" s="484">
        <v>15060200</v>
      </c>
      <c r="B76" s="92" t="s">
        <v>85</v>
      </c>
      <c r="C76" s="93"/>
      <c r="D76" s="635" t="s">
        <v>168</v>
      </c>
      <c r="E76" s="534" t="s">
        <v>169</v>
      </c>
      <c r="F76" s="534" t="s">
        <v>170</v>
      </c>
      <c r="G76" s="636" t="s">
        <v>171</v>
      </c>
      <c r="H76" s="637" t="s">
        <v>172</v>
      </c>
      <c r="I76" s="638" t="s">
        <v>173</v>
      </c>
      <c r="J76" s="638" t="s">
        <v>174</v>
      </c>
      <c r="K76" s="638" t="s">
        <v>175</v>
      </c>
      <c r="L76" s="638" t="s">
        <v>176</v>
      </c>
      <c r="M76" s="639" t="s">
        <v>177</v>
      </c>
      <c r="N76" s="640" t="s">
        <v>178</v>
      </c>
      <c r="O76" s="639" t="s">
        <v>179</v>
      </c>
      <c r="P76" s="637" t="s">
        <v>180</v>
      </c>
      <c r="Q76" s="638" t="s">
        <v>181</v>
      </c>
      <c r="R76" s="641" t="s">
        <v>182</v>
      </c>
      <c r="S76" s="200" t="e">
        <f t="shared" ref="S76:S80" si="13">AB76&amp;AC76&amp;AD76&amp;AE76&amp;AF76&amp;AG76</f>
        <v>#VALUE!</v>
      </c>
      <c r="T76" s="177"/>
      <c r="U76" s="177"/>
      <c r="V76" s="177"/>
      <c r="W76" s="177"/>
      <c r="X76" s="177"/>
      <c r="AA76" s="324"/>
      <c r="AB76" s="308" t="e">
        <f t="shared" ref="AB76:AB80" si="14">IF(AND($D76&lt;&gt;0,$E76="",$F76=""),"* No olvide ingresar la variable Hombres y/o Mujeres. Digite CERO si no tiene.",IF(SUM($E76+$F76)&lt;&gt;$D76, "*La suma Total de: "&amp;$G$33&amp;""&amp;" + "&amp;$N$33&amp;""&amp;" + "&amp;$P$33&amp;""&amp;" debe ser igual a la suma de Hombres + Mujeres. ",""))</f>
        <v>#VALUE!</v>
      </c>
      <c r="AC76" s="322"/>
      <c r="AD76" s="322"/>
      <c r="AE76" s="322"/>
      <c r="AF76" s="322"/>
      <c r="AG76" s="322"/>
      <c r="AI76" s="199" t="e">
        <f t="shared" si="12"/>
        <v>#VALUE!</v>
      </c>
      <c r="AJ76" s="323"/>
      <c r="AK76" s="323"/>
      <c r="AL76" s="323"/>
      <c r="AM76" s="323"/>
      <c r="AN76" s="323"/>
    </row>
    <row r="77" spans="1:40" ht="15" customHeight="1" x14ac:dyDescent="0.2">
      <c r="A77" s="484">
        <v>15060600</v>
      </c>
      <c r="B77" s="446" t="s">
        <v>87</v>
      </c>
      <c r="C77" s="447"/>
      <c r="D77" s="533" t="s">
        <v>168</v>
      </c>
      <c r="E77" s="534" t="s">
        <v>169</v>
      </c>
      <c r="F77" s="534" t="s">
        <v>170</v>
      </c>
      <c r="G77" s="636" t="s">
        <v>171</v>
      </c>
      <c r="H77" s="637" t="s">
        <v>172</v>
      </c>
      <c r="I77" s="638" t="s">
        <v>173</v>
      </c>
      <c r="J77" s="496" t="s">
        <v>174</v>
      </c>
      <c r="K77" s="496" t="s">
        <v>175</v>
      </c>
      <c r="L77" s="496" t="s">
        <v>176</v>
      </c>
      <c r="M77" s="642" t="s">
        <v>177</v>
      </c>
      <c r="N77" s="640" t="s">
        <v>178</v>
      </c>
      <c r="O77" s="643" t="s">
        <v>179</v>
      </c>
      <c r="P77" s="536" t="s">
        <v>180</v>
      </c>
      <c r="Q77" s="644" t="s">
        <v>181</v>
      </c>
      <c r="R77" s="645" t="s">
        <v>182</v>
      </c>
      <c r="S77" s="200" t="e">
        <f t="shared" si="13"/>
        <v>#VALUE!</v>
      </c>
      <c r="T77" s="177"/>
      <c r="U77" s="177"/>
      <c r="V77" s="177"/>
      <c r="W77" s="177"/>
      <c r="X77" s="177"/>
      <c r="AA77" s="324"/>
      <c r="AB77" s="308" t="e">
        <f t="shared" si="14"/>
        <v>#VALUE!</v>
      </c>
      <c r="AC77" s="323"/>
      <c r="AD77" s="323"/>
      <c r="AE77" s="323"/>
      <c r="AF77" s="323"/>
      <c r="AG77" s="28"/>
      <c r="AI77" s="199" t="e">
        <f t="shared" si="12"/>
        <v>#VALUE!</v>
      </c>
      <c r="AJ77" s="323"/>
      <c r="AK77" s="323"/>
      <c r="AL77" s="323"/>
      <c r="AM77" s="323"/>
      <c r="AN77" s="323"/>
    </row>
    <row r="78" spans="1:40" ht="15" customHeight="1" x14ac:dyDescent="0.2">
      <c r="A78" s="484">
        <v>15901400</v>
      </c>
      <c r="B78" s="360" t="s">
        <v>104</v>
      </c>
      <c r="C78" s="361"/>
      <c r="D78" s="646" t="s">
        <v>168</v>
      </c>
      <c r="E78" s="545" t="s">
        <v>169</v>
      </c>
      <c r="F78" s="545" t="s">
        <v>170</v>
      </c>
      <c r="G78" s="647" t="s">
        <v>171</v>
      </c>
      <c r="H78" s="648" t="s">
        <v>172</v>
      </c>
      <c r="I78" s="648" t="s">
        <v>173</v>
      </c>
      <c r="J78" s="648" t="s">
        <v>174</v>
      </c>
      <c r="K78" s="649" t="s">
        <v>175</v>
      </c>
      <c r="L78" s="548" t="s">
        <v>176</v>
      </c>
      <c r="M78" s="650" t="s">
        <v>177</v>
      </c>
      <c r="N78" s="651" t="s">
        <v>178</v>
      </c>
      <c r="O78" s="652" t="s">
        <v>179</v>
      </c>
      <c r="P78" s="653" t="s">
        <v>180</v>
      </c>
      <c r="Q78" s="654" t="s">
        <v>181</v>
      </c>
      <c r="R78" s="655" t="s">
        <v>182</v>
      </c>
      <c r="S78" s="200" t="e">
        <f t="shared" si="13"/>
        <v>#VALUE!</v>
      </c>
      <c r="T78" s="177"/>
      <c r="U78" s="177"/>
      <c r="V78" s="177"/>
      <c r="W78" s="177"/>
      <c r="X78" s="177"/>
      <c r="AA78" s="324"/>
      <c r="AB78" s="308" t="e">
        <f t="shared" si="14"/>
        <v>#VALUE!</v>
      </c>
      <c r="AC78" s="323"/>
      <c r="AD78" s="323"/>
      <c r="AE78" s="323"/>
      <c r="AF78" s="323"/>
      <c r="AG78" s="28"/>
      <c r="AI78" s="199" t="e">
        <f t="shared" si="12"/>
        <v>#VALUE!</v>
      </c>
      <c r="AJ78" s="323"/>
      <c r="AK78" s="323"/>
      <c r="AL78" s="323"/>
      <c r="AM78" s="323"/>
      <c r="AN78" s="323"/>
    </row>
    <row r="79" spans="1:40" ht="15" customHeight="1" x14ac:dyDescent="0.25">
      <c r="A79" s="483"/>
      <c r="B79" s="362" t="s">
        <v>97</v>
      </c>
      <c r="C79" s="363"/>
      <c r="D79" s="109">
        <f>SUM(E79:F79)</f>
        <v>0</v>
      </c>
      <c r="E79" s="109">
        <f>SUM(E75:E78)</f>
        <v>0</v>
      </c>
      <c r="F79" s="109">
        <f t="shared" ref="F79:I79" si="15">SUM(F75:F78)</f>
        <v>0</v>
      </c>
      <c r="G79" s="108">
        <f t="shared" si="15"/>
        <v>0</v>
      </c>
      <c r="H79" s="123">
        <f t="shared" si="15"/>
        <v>0</v>
      </c>
      <c r="I79" s="123">
        <f t="shared" si="15"/>
        <v>0</v>
      </c>
      <c r="J79" s="123" t="e">
        <f>SUM(J75:J76)+J78</f>
        <v>#VALUE!</v>
      </c>
      <c r="K79" s="123" t="e">
        <f t="shared" ref="K79:M79" si="16">SUM(K75:K76)+K78</f>
        <v>#VALUE!</v>
      </c>
      <c r="L79" s="123" t="e">
        <f t="shared" si="16"/>
        <v>#VALUE!</v>
      </c>
      <c r="M79" s="138" t="e">
        <f t="shared" si="16"/>
        <v>#VALUE!</v>
      </c>
      <c r="N79" s="108">
        <f>SUM(N75)</f>
        <v>0</v>
      </c>
      <c r="O79" s="124">
        <f>SUM(O76)</f>
        <v>0</v>
      </c>
      <c r="P79" s="108">
        <f>SUM(P75:P76)</f>
        <v>0</v>
      </c>
      <c r="Q79" s="108">
        <f t="shared" ref="Q79:R79" si="17">SUM(Q75:Q76)</f>
        <v>0</v>
      </c>
      <c r="R79" s="108">
        <f t="shared" si="17"/>
        <v>0</v>
      </c>
      <c r="S79" s="200"/>
      <c r="T79" s="177"/>
      <c r="U79" s="177"/>
      <c r="V79" s="177"/>
      <c r="W79" s="177"/>
      <c r="X79" s="177"/>
      <c r="AA79" s="28"/>
      <c r="AB79" s="28"/>
      <c r="AC79" s="28"/>
      <c r="AD79" s="28"/>
      <c r="AE79" s="28"/>
      <c r="AF79" s="28"/>
      <c r="AG79" s="28"/>
      <c r="AI79" s="28"/>
      <c r="AJ79" s="28"/>
      <c r="AK79" s="28"/>
      <c r="AL79" s="28"/>
      <c r="AM79" s="28"/>
      <c r="AN79" s="28"/>
    </row>
    <row r="80" spans="1:40" ht="15" customHeight="1" x14ac:dyDescent="0.25">
      <c r="A80" s="480">
        <v>15900090</v>
      </c>
      <c r="B80" s="364" t="s">
        <v>98</v>
      </c>
      <c r="C80" s="365"/>
      <c r="D80" s="554" t="s">
        <v>168</v>
      </c>
      <c r="E80" s="555" t="s">
        <v>169</v>
      </c>
      <c r="F80" s="556" t="s">
        <v>170</v>
      </c>
      <c r="G80" s="656" t="s">
        <v>171</v>
      </c>
      <c r="H80" s="657" t="s">
        <v>172</v>
      </c>
      <c r="I80" s="657" t="s">
        <v>173</v>
      </c>
      <c r="J80" s="657" t="s">
        <v>174</v>
      </c>
      <c r="K80" s="658" t="s">
        <v>175</v>
      </c>
      <c r="L80" s="659" t="s">
        <v>176</v>
      </c>
      <c r="M80" s="660" t="s">
        <v>177</v>
      </c>
      <c r="N80" s="661" t="s">
        <v>178</v>
      </c>
      <c r="O80" s="662" t="s">
        <v>179</v>
      </c>
      <c r="P80" s="661" t="s">
        <v>180</v>
      </c>
      <c r="Q80" s="663" t="s">
        <v>181</v>
      </c>
      <c r="R80" s="664" t="s">
        <v>182</v>
      </c>
      <c r="S80" s="200" t="e">
        <f t="shared" si="13"/>
        <v>#VALUE!</v>
      </c>
      <c r="T80" s="177"/>
      <c r="U80" s="177"/>
      <c r="V80" s="177"/>
      <c r="W80" s="177"/>
      <c r="X80" s="177"/>
      <c r="AA80" s="323"/>
      <c r="AB80" s="308" t="e">
        <f t="shared" si="14"/>
        <v>#VALUE!</v>
      </c>
      <c r="AC80" s="322"/>
      <c r="AD80" s="322"/>
      <c r="AE80" s="322"/>
      <c r="AF80" s="322"/>
      <c r="AG80" s="322"/>
      <c r="AI80" s="199" t="e">
        <f t="shared" ref="AI80" si="18">IF(AND($D80&lt;&gt;0,$E80="",$F80=""),1,IF(SUM($E80+$F80)&lt;&gt;$D80,1,0))</f>
        <v>#VALUE!</v>
      </c>
      <c r="AJ80" s="323"/>
      <c r="AK80" s="323"/>
      <c r="AL80" s="323"/>
      <c r="AM80" s="323"/>
      <c r="AN80" s="323"/>
    </row>
    <row r="81" spans="1:440" ht="15" customHeight="1" x14ac:dyDescent="0.2">
      <c r="B81" s="28" t="s">
        <v>99</v>
      </c>
      <c r="C81" s="89"/>
      <c r="D81" s="90"/>
      <c r="E81" s="91"/>
      <c r="F81" s="91"/>
      <c r="G81" s="91"/>
      <c r="H81" s="91"/>
      <c r="I81" s="91"/>
      <c r="J81" s="90"/>
      <c r="K81" s="90"/>
      <c r="L81" s="90"/>
      <c r="M81" s="90"/>
      <c r="N81" s="90"/>
      <c r="O81" s="90"/>
      <c r="P81" s="90"/>
      <c r="S81" s="24"/>
      <c r="AB81" s="116"/>
      <c r="AC81" s="116"/>
      <c r="AD81" s="116"/>
      <c r="AE81" s="116"/>
      <c r="AF81" s="116"/>
      <c r="AG81" s="116"/>
      <c r="AH81" s="116"/>
      <c r="AI81" s="116"/>
      <c r="AJ81" s="323"/>
      <c r="AK81" s="28"/>
      <c r="AL81" s="28"/>
      <c r="AM81" s="28"/>
      <c r="AN81" s="28"/>
    </row>
    <row r="82" spans="1:440" ht="15" customHeight="1" x14ac:dyDescent="0.2">
      <c r="C82" s="89"/>
      <c r="D82" s="90"/>
      <c r="E82" s="91"/>
      <c r="F82" s="91"/>
      <c r="G82" s="91"/>
      <c r="H82" s="91"/>
      <c r="I82" s="91"/>
      <c r="J82" s="90"/>
      <c r="K82" s="90"/>
      <c r="L82" s="90"/>
      <c r="M82" s="90"/>
      <c r="N82" s="90"/>
      <c r="O82" s="90"/>
      <c r="P82" s="90"/>
      <c r="S82" s="24"/>
      <c r="AB82" s="116"/>
      <c r="AC82" s="116"/>
      <c r="AD82" s="116"/>
      <c r="AE82" s="116"/>
      <c r="AF82" s="116"/>
      <c r="AG82" s="116"/>
      <c r="AH82" s="116"/>
      <c r="AI82" s="116"/>
      <c r="AJ82" s="116"/>
    </row>
    <row r="83" spans="1:440" ht="30.75" customHeight="1" x14ac:dyDescent="0.2">
      <c r="B83" s="274" t="s">
        <v>105</v>
      </c>
      <c r="H83" s="32"/>
      <c r="I83" s="32"/>
      <c r="S83" s="24"/>
      <c r="AB83" s="116"/>
      <c r="AC83" s="116"/>
      <c r="AD83" s="116"/>
      <c r="AE83" s="116"/>
      <c r="AF83" s="116"/>
      <c r="AG83" s="116"/>
      <c r="AH83" s="116"/>
      <c r="AI83" s="116"/>
      <c r="AJ83" s="116"/>
    </row>
    <row r="84" spans="1:440" ht="21" customHeight="1" x14ac:dyDescent="0.2">
      <c r="B84" s="366" t="s">
        <v>62</v>
      </c>
      <c r="C84" s="355"/>
      <c r="D84" s="369" t="s">
        <v>106</v>
      </c>
      <c r="E84" s="372" t="s">
        <v>107</v>
      </c>
      <c r="F84" s="373"/>
      <c r="G84" s="369" t="s">
        <v>108</v>
      </c>
      <c r="H84" s="376" t="s">
        <v>109</v>
      </c>
      <c r="I84" s="376"/>
      <c r="J84" s="376"/>
      <c r="K84" s="376"/>
      <c r="L84" s="376"/>
      <c r="M84" s="376"/>
      <c r="N84" s="376"/>
      <c r="O84" s="377" t="s">
        <v>110</v>
      </c>
      <c r="Q84" s="24"/>
      <c r="Y84" s="115"/>
      <c r="Z84" s="116"/>
      <c r="AA84" s="116"/>
      <c r="AB84" s="116"/>
      <c r="AC84" s="116"/>
      <c r="AD84" s="116"/>
      <c r="AE84" s="116"/>
      <c r="AF84" s="116"/>
      <c r="AG84" s="116"/>
      <c r="AH84" s="116"/>
    </row>
    <row r="85" spans="1:440" ht="23.25" customHeight="1" x14ac:dyDescent="0.2">
      <c r="B85" s="367"/>
      <c r="C85" s="356"/>
      <c r="D85" s="370"/>
      <c r="E85" s="378" t="s">
        <v>111</v>
      </c>
      <c r="F85" s="380" t="s">
        <v>112</v>
      </c>
      <c r="G85" s="374"/>
      <c r="H85" s="382" t="s">
        <v>113</v>
      </c>
      <c r="I85" s="382"/>
      <c r="J85" s="382"/>
      <c r="K85" s="383" t="s">
        <v>114</v>
      </c>
      <c r="L85" s="384" t="s">
        <v>115</v>
      </c>
      <c r="M85" s="385" t="s">
        <v>116</v>
      </c>
      <c r="N85" s="386" t="s">
        <v>117</v>
      </c>
      <c r="O85" s="374"/>
      <c r="Q85" s="24"/>
      <c r="Y85" s="115"/>
      <c r="Z85" s="116"/>
      <c r="AA85" s="116"/>
      <c r="AB85" s="116"/>
      <c r="AC85" s="116"/>
      <c r="AD85" s="116"/>
      <c r="AE85" s="116"/>
      <c r="AF85" s="116"/>
      <c r="AG85" s="116"/>
      <c r="AH85" s="116"/>
    </row>
    <row r="86" spans="1:440" ht="26.25" customHeight="1" x14ac:dyDescent="0.2">
      <c r="B86" s="368"/>
      <c r="C86" s="357"/>
      <c r="D86" s="371"/>
      <c r="E86" s="379"/>
      <c r="F86" s="381"/>
      <c r="G86" s="375"/>
      <c r="H86" s="33" t="s">
        <v>118</v>
      </c>
      <c r="I86" s="34" t="s">
        <v>119</v>
      </c>
      <c r="J86" s="35" t="s">
        <v>63</v>
      </c>
      <c r="K86" s="383"/>
      <c r="L86" s="354"/>
      <c r="M86" s="385"/>
      <c r="N86" s="386"/>
      <c r="O86" s="375"/>
      <c r="Q86" s="24"/>
      <c r="Y86" s="115"/>
      <c r="Z86" s="116"/>
      <c r="AA86" s="116"/>
      <c r="AB86" s="116"/>
      <c r="AC86" s="116"/>
      <c r="AD86" s="116"/>
      <c r="AE86" s="116"/>
      <c r="AF86" s="116"/>
      <c r="AG86" s="116"/>
      <c r="AH86" s="116"/>
    </row>
    <row r="87" spans="1:440" ht="18" customHeight="1" x14ac:dyDescent="0.2">
      <c r="B87" s="234" t="s">
        <v>80</v>
      </c>
      <c r="C87" s="141"/>
      <c r="D87" s="237"/>
      <c r="E87" s="235"/>
      <c r="F87" s="211"/>
      <c r="G87" s="137">
        <f t="shared" ref="G87:G90" si="19">SUM(D87:F87)</f>
        <v>0</v>
      </c>
      <c r="H87" s="221" t="e">
        <f>D13+D18</f>
        <v>#VALUE!</v>
      </c>
      <c r="I87" s="222" t="e">
        <f>+D50+D55</f>
        <v>#VALUE!</v>
      </c>
      <c r="J87" s="220" t="e">
        <f t="shared" ref="J87:J91" si="20">+H87+I87</f>
        <v>#VALUE!</v>
      </c>
      <c r="K87" s="94"/>
      <c r="L87" s="104"/>
      <c r="M87" s="120"/>
      <c r="N87" s="137" t="e">
        <f>SUM(J87:M87)</f>
        <v>#VALUE!</v>
      </c>
      <c r="O87" s="137" t="e">
        <f t="shared" ref="O87:O94" si="21">G87-N87</f>
        <v>#VALUE!</v>
      </c>
      <c r="Q87" s="24"/>
      <c r="Y87" s="115"/>
      <c r="Z87" s="116"/>
      <c r="AA87" s="116"/>
      <c r="AB87" s="116"/>
      <c r="AC87" s="116"/>
      <c r="AD87" s="116"/>
      <c r="AE87" s="116"/>
      <c r="AF87" s="116"/>
      <c r="AG87" s="116"/>
      <c r="AH87" s="116"/>
    </row>
    <row r="88" spans="1:440" ht="18" customHeight="1" x14ac:dyDescent="0.2">
      <c r="B88" s="234" t="s">
        <v>81</v>
      </c>
      <c r="C88" s="141"/>
      <c r="D88" s="237"/>
      <c r="E88" s="235"/>
      <c r="F88" s="211"/>
      <c r="G88" s="137">
        <f t="shared" si="19"/>
        <v>0</v>
      </c>
      <c r="H88" s="221" t="e">
        <f>D14+D19</f>
        <v>#VALUE!</v>
      </c>
      <c r="I88" s="222" t="e">
        <f>+D51+D56</f>
        <v>#VALUE!</v>
      </c>
      <c r="J88" s="220" t="e">
        <f t="shared" si="20"/>
        <v>#VALUE!</v>
      </c>
      <c r="K88" s="210"/>
      <c r="L88" s="210"/>
      <c r="M88" s="210"/>
      <c r="N88" s="137" t="e">
        <f t="shared" ref="N88:N94" si="22">SUM(J88:M88)</f>
        <v>#VALUE!</v>
      </c>
      <c r="O88" s="137" t="e">
        <f t="shared" si="21"/>
        <v>#VALUE!</v>
      </c>
      <c r="Q88" s="24"/>
      <c r="Y88" s="115"/>
      <c r="Z88" s="116"/>
      <c r="AA88" s="116"/>
      <c r="AB88" s="116"/>
      <c r="AC88" s="116"/>
      <c r="AD88" s="116"/>
      <c r="AE88" s="116"/>
      <c r="AF88" s="116"/>
      <c r="AG88" s="116"/>
      <c r="AH88" s="116"/>
    </row>
    <row r="89" spans="1:440" ht="18" customHeight="1" x14ac:dyDescent="0.2">
      <c r="B89" s="350" t="s">
        <v>86</v>
      </c>
      <c r="C89" s="351"/>
      <c r="D89" s="237"/>
      <c r="E89" s="235"/>
      <c r="F89" s="211"/>
      <c r="G89" s="137">
        <f t="shared" si="19"/>
        <v>0</v>
      </c>
      <c r="H89" s="221" t="e">
        <f>D20+D26</f>
        <v>#VALUE!</v>
      </c>
      <c r="I89" s="222" t="e">
        <f>+D57+D63</f>
        <v>#VALUE!</v>
      </c>
      <c r="J89" s="220" t="e">
        <f t="shared" si="20"/>
        <v>#VALUE!</v>
      </c>
      <c r="K89" s="210"/>
      <c r="L89" s="210"/>
      <c r="M89" s="210"/>
      <c r="N89" s="137" t="e">
        <f t="shared" si="22"/>
        <v>#VALUE!</v>
      </c>
      <c r="O89" s="137" t="e">
        <f t="shared" si="21"/>
        <v>#VALUE!</v>
      </c>
      <c r="Q89" s="24"/>
      <c r="Y89" s="115"/>
      <c r="Z89" s="116"/>
      <c r="AA89" s="116"/>
      <c r="AB89" s="116"/>
      <c r="AC89" s="116"/>
      <c r="AD89" s="116"/>
      <c r="AE89" s="116"/>
      <c r="AF89" s="116"/>
      <c r="AG89" s="116"/>
      <c r="AH89" s="116"/>
    </row>
    <row r="90" spans="1:440" ht="18" customHeight="1" x14ac:dyDescent="0.2">
      <c r="B90" s="350" t="s">
        <v>82</v>
      </c>
      <c r="C90" s="351"/>
      <c r="D90" s="238"/>
      <c r="E90" s="236"/>
      <c r="F90" s="149"/>
      <c r="G90" s="195">
        <f t="shared" si="19"/>
        <v>0</v>
      </c>
      <c r="H90" s="197" t="e">
        <f>+D15+D21</f>
        <v>#VALUE!</v>
      </c>
      <c r="I90" s="198" t="e">
        <f>+D52+D58</f>
        <v>#VALUE!</v>
      </c>
      <c r="J90" s="196" t="e">
        <f t="shared" si="20"/>
        <v>#VALUE!</v>
      </c>
      <c r="K90" s="140"/>
      <c r="L90" s="140"/>
      <c r="M90" s="149"/>
      <c r="N90" s="212" t="e">
        <f t="shared" si="22"/>
        <v>#VALUE!</v>
      </c>
      <c r="O90" s="196" t="e">
        <f t="shared" si="21"/>
        <v>#VALUE!</v>
      </c>
      <c r="Q90" s="24"/>
      <c r="Y90" s="115"/>
      <c r="Z90" s="116"/>
      <c r="AA90" s="116"/>
      <c r="AB90" s="116"/>
      <c r="AC90" s="116"/>
      <c r="AD90" s="116"/>
      <c r="AE90" s="116"/>
      <c r="AF90" s="116"/>
      <c r="AG90" s="116"/>
      <c r="AH90" s="116"/>
    </row>
    <row r="91" spans="1:440" s="125" customFormat="1" ht="18" customHeight="1" x14ac:dyDescent="0.2">
      <c r="A91" s="28"/>
      <c r="B91" s="350" t="s">
        <v>83</v>
      </c>
      <c r="C91" s="351"/>
      <c r="D91" s="285"/>
      <c r="E91" s="286"/>
      <c r="F91" s="287"/>
      <c r="G91" s="245">
        <f>SUM(D91:F91)</f>
        <v>0</v>
      </c>
      <c r="H91" s="246" t="e">
        <f>D16+D22+D25</f>
        <v>#VALUE!</v>
      </c>
      <c r="I91" s="247" t="e">
        <f>+D53+D59+D62</f>
        <v>#VALUE!</v>
      </c>
      <c r="J91" s="248" t="e">
        <f t="shared" si="20"/>
        <v>#VALUE!</v>
      </c>
      <c r="K91" s="288"/>
      <c r="L91" s="288"/>
      <c r="M91" s="289"/>
      <c r="N91" s="249" t="e">
        <f t="shared" si="22"/>
        <v>#VALUE!</v>
      </c>
      <c r="O91" s="250" t="e">
        <f t="shared" si="21"/>
        <v>#VALUE!</v>
      </c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  <c r="AZ91" s="118"/>
      <c r="BA91" s="118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  <c r="FK91" s="24"/>
      <c r="FL91" s="24"/>
      <c r="FM91" s="24"/>
      <c r="FN91" s="24"/>
      <c r="FO91" s="24"/>
      <c r="FP91" s="24"/>
      <c r="FQ91" s="24"/>
      <c r="FR91" s="24"/>
      <c r="FS91" s="24"/>
      <c r="FT91" s="24"/>
      <c r="FU91" s="24"/>
      <c r="FV91" s="24"/>
      <c r="FW91" s="24"/>
      <c r="FX91" s="24"/>
      <c r="FY91" s="24"/>
      <c r="FZ91" s="24"/>
      <c r="GA91" s="24"/>
      <c r="GB91" s="24"/>
      <c r="GC91" s="24"/>
      <c r="GD91" s="24"/>
      <c r="GE91" s="24"/>
      <c r="GF91" s="24"/>
      <c r="GG91" s="24"/>
      <c r="GH91" s="24"/>
      <c r="GI91" s="24"/>
      <c r="GJ91" s="24"/>
      <c r="GK91" s="24"/>
      <c r="GL91" s="24"/>
      <c r="GM91" s="24"/>
      <c r="GN91" s="24"/>
      <c r="GO91" s="24"/>
      <c r="GP91" s="24"/>
      <c r="GQ91" s="24"/>
      <c r="GR91" s="24"/>
      <c r="GS91" s="24"/>
      <c r="GT91" s="24"/>
      <c r="GU91" s="24"/>
      <c r="GV91" s="24"/>
      <c r="GW91" s="24"/>
      <c r="GX91" s="24"/>
      <c r="GY91" s="24"/>
      <c r="GZ91" s="24"/>
      <c r="HA91" s="24"/>
      <c r="HB91" s="24"/>
      <c r="HC91" s="24"/>
      <c r="HD91" s="24"/>
      <c r="HE91" s="24"/>
      <c r="HF91" s="24"/>
      <c r="HG91" s="24"/>
      <c r="HH91" s="24"/>
      <c r="HI91" s="24"/>
      <c r="HJ91" s="24"/>
      <c r="HK91" s="24"/>
      <c r="HL91" s="24"/>
      <c r="HM91" s="24"/>
      <c r="HN91" s="24"/>
      <c r="HO91" s="24"/>
      <c r="HP91" s="24"/>
      <c r="HQ91" s="24"/>
      <c r="HR91" s="24"/>
      <c r="HS91" s="24"/>
      <c r="HT91" s="24"/>
      <c r="HU91" s="24"/>
      <c r="HV91" s="24"/>
      <c r="HW91" s="24"/>
      <c r="HX91" s="24"/>
      <c r="HY91" s="24"/>
      <c r="HZ91" s="24"/>
      <c r="IA91" s="24"/>
      <c r="IB91" s="24"/>
      <c r="IC91" s="24"/>
      <c r="ID91" s="24"/>
      <c r="IE91" s="24"/>
      <c r="IF91" s="24"/>
      <c r="IG91" s="24"/>
      <c r="IH91" s="24"/>
      <c r="II91" s="24"/>
      <c r="IJ91" s="24"/>
      <c r="IK91" s="24"/>
      <c r="IL91" s="24"/>
      <c r="IM91" s="24"/>
      <c r="IN91" s="24"/>
      <c r="IO91" s="24"/>
      <c r="IP91" s="24"/>
      <c r="IQ91" s="24"/>
      <c r="IR91" s="24"/>
      <c r="IS91" s="24"/>
      <c r="IT91" s="24"/>
      <c r="IU91" s="24"/>
      <c r="IV91" s="24"/>
      <c r="IW91" s="24"/>
      <c r="IX91" s="24"/>
      <c r="IY91" s="24"/>
      <c r="IZ91" s="24"/>
      <c r="JA91" s="24"/>
      <c r="JB91" s="24"/>
      <c r="JC91" s="24"/>
      <c r="JD91" s="24"/>
      <c r="JE91" s="24"/>
      <c r="JF91" s="24"/>
      <c r="JG91" s="24"/>
      <c r="JH91" s="24"/>
      <c r="JI91" s="24"/>
      <c r="JJ91" s="24"/>
      <c r="JK91" s="24"/>
      <c r="JL91" s="24"/>
      <c r="JM91" s="24"/>
      <c r="JN91" s="24"/>
      <c r="JO91" s="24"/>
      <c r="JP91" s="24"/>
      <c r="JQ91" s="24"/>
      <c r="JR91" s="24"/>
      <c r="JS91" s="24"/>
      <c r="JT91" s="24"/>
      <c r="JU91" s="24"/>
      <c r="JV91" s="24"/>
      <c r="JW91" s="24"/>
      <c r="JX91" s="24"/>
      <c r="JY91" s="24"/>
      <c r="JZ91" s="24"/>
      <c r="KA91" s="24"/>
      <c r="KB91" s="24"/>
      <c r="KC91" s="24"/>
      <c r="KD91" s="24"/>
      <c r="KE91" s="24"/>
      <c r="KF91" s="24"/>
      <c r="KG91" s="24"/>
      <c r="KH91" s="24"/>
      <c r="KI91" s="24"/>
      <c r="KJ91" s="24"/>
      <c r="KK91" s="24"/>
      <c r="KL91" s="24"/>
      <c r="KM91" s="24"/>
      <c r="KN91" s="24"/>
      <c r="KO91" s="24"/>
      <c r="KP91" s="24"/>
      <c r="KQ91" s="24"/>
      <c r="KR91" s="24"/>
      <c r="KS91" s="24"/>
      <c r="KT91" s="24"/>
      <c r="KU91" s="24"/>
      <c r="KV91" s="24"/>
      <c r="KW91" s="24"/>
      <c r="KX91" s="24"/>
      <c r="KY91" s="24"/>
      <c r="KZ91" s="24"/>
      <c r="LA91" s="24"/>
      <c r="LB91" s="24"/>
      <c r="LC91" s="24"/>
      <c r="LD91" s="24"/>
      <c r="LE91" s="24"/>
      <c r="LF91" s="24"/>
      <c r="LG91" s="24"/>
      <c r="LH91" s="24"/>
      <c r="LI91" s="24"/>
      <c r="LJ91" s="24"/>
      <c r="LK91" s="24"/>
      <c r="LL91" s="24"/>
      <c r="LM91" s="24"/>
      <c r="LN91" s="24"/>
      <c r="LO91" s="24"/>
      <c r="LP91" s="24"/>
      <c r="LQ91" s="24"/>
      <c r="LR91" s="24"/>
      <c r="LS91" s="24"/>
      <c r="LT91" s="24"/>
      <c r="LU91" s="24"/>
      <c r="LV91" s="24"/>
      <c r="LW91" s="24"/>
      <c r="LX91" s="24"/>
      <c r="LY91" s="24"/>
      <c r="LZ91" s="24"/>
      <c r="MA91" s="24"/>
      <c r="MB91" s="24"/>
      <c r="MC91" s="24"/>
      <c r="MD91" s="24"/>
      <c r="ME91" s="24"/>
      <c r="MF91" s="24"/>
      <c r="MG91" s="24"/>
      <c r="MH91" s="24"/>
      <c r="MI91" s="24"/>
      <c r="MJ91" s="24"/>
      <c r="MK91" s="24"/>
      <c r="ML91" s="24"/>
      <c r="MM91" s="24"/>
      <c r="MN91" s="24"/>
      <c r="MO91" s="24"/>
      <c r="MP91" s="24"/>
      <c r="MQ91" s="24"/>
      <c r="MR91" s="24"/>
      <c r="MS91" s="24"/>
      <c r="MT91" s="24"/>
      <c r="MU91" s="24"/>
      <c r="MV91" s="24"/>
      <c r="MW91" s="24"/>
      <c r="MX91" s="24"/>
      <c r="MY91" s="24"/>
      <c r="MZ91" s="24"/>
      <c r="NA91" s="24"/>
      <c r="NB91" s="24"/>
      <c r="NC91" s="24"/>
      <c r="ND91" s="24"/>
      <c r="NE91" s="24"/>
      <c r="NF91" s="24"/>
      <c r="NG91" s="24"/>
      <c r="NH91" s="24"/>
      <c r="NI91" s="24"/>
      <c r="NJ91" s="24"/>
      <c r="NK91" s="24"/>
      <c r="NL91" s="24"/>
      <c r="NM91" s="24"/>
      <c r="NN91" s="24"/>
      <c r="NO91" s="24"/>
      <c r="NP91" s="24"/>
      <c r="NQ91" s="24"/>
      <c r="NR91" s="24"/>
      <c r="NS91" s="24"/>
      <c r="NT91" s="24"/>
      <c r="NU91" s="24"/>
      <c r="NV91" s="24"/>
      <c r="NW91" s="24"/>
      <c r="NX91" s="24"/>
      <c r="NY91" s="24"/>
      <c r="NZ91" s="24"/>
      <c r="OA91" s="24"/>
      <c r="OB91" s="24"/>
      <c r="OC91" s="24"/>
      <c r="OD91" s="24"/>
      <c r="OE91" s="24"/>
      <c r="OF91" s="24"/>
      <c r="OG91" s="24"/>
      <c r="OH91" s="24"/>
      <c r="OI91" s="24"/>
      <c r="OJ91" s="24"/>
      <c r="OK91" s="24"/>
      <c r="OL91" s="24"/>
      <c r="OM91" s="24"/>
      <c r="ON91" s="24"/>
      <c r="OO91" s="24"/>
      <c r="OP91" s="24"/>
      <c r="OQ91" s="24"/>
      <c r="OR91" s="24"/>
      <c r="OS91" s="24"/>
      <c r="OT91" s="24"/>
      <c r="OU91" s="24"/>
      <c r="OV91" s="24"/>
      <c r="OW91" s="24"/>
      <c r="OX91" s="24"/>
      <c r="OY91" s="24"/>
      <c r="OZ91" s="24"/>
      <c r="PA91" s="24"/>
      <c r="PB91" s="24"/>
      <c r="PC91" s="24"/>
      <c r="PD91" s="24"/>
      <c r="PE91" s="24"/>
      <c r="PF91" s="24"/>
      <c r="PG91" s="24"/>
      <c r="PH91" s="24"/>
      <c r="PI91" s="24"/>
      <c r="PJ91" s="24"/>
      <c r="PK91" s="24"/>
      <c r="PL91" s="24"/>
      <c r="PM91" s="24"/>
      <c r="PN91" s="24"/>
      <c r="PO91" s="24"/>
      <c r="PP91" s="24"/>
      <c r="PQ91" s="24"/>
      <c r="PR91" s="24"/>
      <c r="PS91" s="24"/>
      <c r="PT91" s="24"/>
      <c r="PU91" s="24"/>
      <c r="PV91" s="24"/>
      <c r="PW91" s="24"/>
      <c r="PX91" s="24"/>
    </row>
    <row r="92" spans="1:440" s="125" customFormat="1" ht="18" customHeight="1" x14ac:dyDescent="0.2">
      <c r="A92" s="28"/>
      <c r="B92" s="350" t="s">
        <v>120</v>
      </c>
      <c r="C92" s="351"/>
      <c r="D92" s="290"/>
      <c r="E92" s="291"/>
      <c r="F92" s="292"/>
      <c r="G92" s="251">
        <f t="shared" ref="G92:G94" si="23">SUM(D92:F92)</f>
        <v>0</v>
      </c>
      <c r="H92" s="252" t="str">
        <f>D24</f>
        <v>COL01</v>
      </c>
      <c r="I92" s="253" t="str">
        <f>D61</f>
        <v>COL01</v>
      </c>
      <c r="J92" s="254" t="e">
        <f>+H92+I92</f>
        <v>#VALUE!</v>
      </c>
      <c r="K92" s="293"/>
      <c r="L92" s="294"/>
      <c r="M92" s="295"/>
      <c r="N92" s="255" t="e">
        <f t="shared" si="22"/>
        <v>#VALUE!</v>
      </c>
      <c r="O92" s="251" t="e">
        <f t="shared" si="21"/>
        <v>#VALUE!</v>
      </c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  <c r="FU92" s="24"/>
      <c r="FV92" s="24"/>
      <c r="FW92" s="24"/>
      <c r="FX92" s="24"/>
      <c r="FY92" s="24"/>
      <c r="FZ92" s="24"/>
      <c r="GA92" s="24"/>
      <c r="GB92" s="24"/>
      <c r="GC92" s="24"/>
      <c r="GD92" s="24"/>
      <c r="GE92" s="24"/>
      <c r="GF92" s="24"/>
      <c r="GG92" s="24"/>
      <c r="GH92" s="24"/>
      <c r="GI92" s="24"/>
      <c r="GJ92" s="24"/>
      <c r="GK92" s="24"/>
      <c r="GL92" s="24"/>
      <c r="GM92" s="24"/>
      <c r="GN92" s="24"/>
      <c r="GO92" s="24"/>
      <c r="GP92" s="24"/>
      <c r="GQ92" s="24"/>
      <c r="GR92" s="24"/>
      <c r="GS92" s="24"/>
      <c r="GT92" s="24"/>
      <c r="GU92" s="24"/>
      <c r="GV92" s="24"/>
      <c r="GW92" s="24"/>
      <c r="GX92" s="24"/>
      <c r="GY92" s="24"/>
      <c r="GZ92" s="24"/>
      <c r="HA92" s="24"/>
      <c r="HB92" s="24"/>
      <c r="HC92" s="24"/>
      <c r="HD92" s="24"/>
      <c r="HE92" s="24"/>
      <c r="HF92" s="24"/>
      <c r="HG92" s="24"/>
      <c r="HH92" s="24"/>
      <c r="HI92" s="24"/>
      <c r="HJ92" s="24"/>
      <c r="HK92" s="24"/>
      <c r="HL92" s="24"/>
      <c r="HM92" s="24"/>
      <c r="HN92" s="24"/>
      <c r="HO92" s="24"/>
      <c r="HP92" s="24"/>
      <c r="HQ92" s="24"/>
      <c r="HR92" s="24"/>
      <c r="HS92" s="24"/>
      <c r="HT92" s="24"/>
      <c r="HU92" s="24"/>
      <c r="HV92" s="24"/>
      <c r="HW92" s="24"/>
      <c r="HX92" s="24"/>
      <c r="HY92" s="24"/>
      <c r="HZ92" s="24"/>
      <c r="IA92" s="24"/>
      <c r="IB92" s="24"/>
      <c r="IC92" s="24"/>
      <c r="ID92" s="24"/>
      <c r="IE92" s="24"/>
      <c r="IF92" s="24"/>
      <c r="IG92" s="24"/>
      <c r="IH92" s="24"/>
      <c r="II92" s="24"/>
      <c r="IJ92" s="24"/>
      <c r="IK92" s="24"/>
      <c r="IL92" s="24"/>
      <c r="IM92" s="24"/>
      <c r="IN92" s="24"/>
      <c r="IO92" s="24"/>
      <c r="IP92" s="24"/>
      <c r="IQ92" s="24"/>
      <c r="IR92" s="24"/>
      <c r="IS92" s="24"/>
      <c r="IT92" s="24"/>
      <c r="IU92" s="24"/>
      <c r="IV92" s="24"/>
      <c r="IW92" s="24"/>
      <c r="IX92" s="24"/>
      <c r="IY92" s="24"/>
      <c r="IZ92" s="24"/>
      <c r="JA92" s="24"/>
      <c r="JB92" s="24"/>
      <c r="JC92" s="24"/>
      <c r="JD92" s="24"/>
      <c r="JE92" s="24"/>
      <c r="JF92" s="24"/>
      <c r="JG92" s="24"/>
      <c r="JH92" s="24"/>
      <c r="JI92" s="24"/>
      <c r="JJ92" s="24"/>
      <c r="JK92" s="24"/>
      <c r="JL92" s="24"/>
      <c r="JM92" s="24"/>
      <c r="JN92" s="24"/>
      <c r="JO92" s="24"/>
      <c r="JP92" s="24"/>
      <c r="JQ92" s="24"/>
      <c r="JR92" s="24"/>
      <c r="JS92" s="24"/>
      <c r="JT92" s="24"/>
      <c r="JU92" s="24"/>
      <c r="JV92" s="24"/>
      <c r="JW92" s="24"/>
      <c r="JX92" s="24"/>
      <c r="JY92" s="24"/>
      <c r="JZ92" s="24"/>
      <c r="KA92" s="24"/>
      <c r="KB92" s="24"/>
      <c r="KC92" s="24"/>
      <c r="KD92" s="24"/>
      <c r="KE92" s="24"/>
      <c r="KF92" s="24"/>
      <c r="KG92" s="24"/>
      <c r="KH92" s="24"/>
      <c r="KI92" s="24"/>
      <c r="KJ92" s="24"/>
      <c r="KK92" s="24"/>
      <c r="KL92" s="24"/>
      <c r="KM92" s="24"/>
      <c r="KN92" s="24"/>
      <c r="KO92" s="24"/>
      <c r="KP92" s="24"/>
      <c r="KQ92" s="24"/>
      <c r="KR92" s="24"/>
      <c r="KS92" s="24"/>
      <c r="KT92" s="24"/>
      <c r="KU92" s="24"/>
      <c r="KV92" s="24"/>
      <c r="KW92" s="24"/>
      <c r="KX92" s="24"/>
      <c r="KY92" s="24"/>
      <c r="KZ92" s="24"/>
      <c r="LA92" s="24"/>
      <c r="LB92" s="24"/>
      <c r="LC92" s="24"/>
      <c r="LD92" s="24"/>
      <c r="LE92" s="24"/>
      <c r="LF92" s="24"/>
      <c r="LG92" s="24"/>
      <c r="LH92" s="24"/>
      <c r="LI92" s="24"/>
      <c r="LJ92" s="24"/>
      <c r="LK92" s="24"/>
      <c r="LL92" s="24"/>
      <c r="LM92" s="24"/>
      <c r="LN92" s="24"/>
      <c r="LO92" s="24"/>
      <c r="LP92" s="24"/>
      <c r="LQ92" s="24"/>
      <c r="LR92" s="24"/>
      <c r="LS92" s="24"/>
      <c r="LT92" s="24"/>
      <c r="LU92" s="24"/>
      <c r="LV92" s="24"/>
      <c r="LW92" s="24"/>
      <c r="LX92" s="24"/>
      <c r="LY92" s="24"/>
      <c r="LZ92" s="24"/>
      <c r="MA92" s="24"/>
      <c r="MB92" s="24"/>
      <c r="MC92" s="24"/>
      <c r="MD92" s="24"/>
      <c r="ME92" s="24"/>
      <c r="MF92" s="24"/>
      <c r="MG92" s="24"/>
      <c r="MH92" s="24"/>
      <c r="MI92" s="24"/>
      <c r="MJ92" s="24"/>
      <c r="MK92" s="24"/>
      <c r="ML92" s="24"/>
      <c r="MM92" s="24"/>
      <c r="MN92" s="24"/>
      <c r="MO92" s="24"/>
      <c r="MP92" s="24"/>
      <c r="MQ92" s="24"/>
      <c r="MR92" s="24"/>
      <c r="MS92" s="24"/>
      <c r="MT92" s="24"/>
      <c r="MU92" s="24"/>
      <c r="MV92" s="24"/>
      <c r="MW92" s="24"/>
      <c r="MX92" s="24"/>
      <c r="MY92" s="24"/>
      <c r="MZ92" s="24"/>
      <c r="NA92" s="24"/>
      <c r="NB92" s="24"/>
      <c r="NC92" s="24"/>
      <c r="ND92" s="24"/>
      <c r="NE92" s="24"/>
      <c r="NF92" s="24"/>
      <c r="NG92" s="24"/>
      <c r="NH92" s="24"/>
      <c r="NI92" s="24"/>
      <c r="NJ92" s="24"/>
      <c r="NK92" s="24"/>
      <c r="NL92" s="24"/>
      <c r="NM92" s="24"/>
      <c r="NN92" s="24"/>
      <c r="NO92" s="24"/>
      <c r="NP92" s="24"/>
      <c r="NQ92" s="24"/>
      <c r="NR92" s="24"/>
      <c r="NS92" s="24"/>
      <c r="NT92" s="24"/>
      <c r="NU92" s="24"/>
      <c r="NV92" s="24"/>
      <c r="NW92" s="24"/>
      <c r="NX92" s="24"/>
      <c r="NY92" s="24"/>
      <c r="NZ92" s="24"/>
      <c r="OA92" s="24"/>
      <c r="OB92" s="24"/>
      <c r="OC92" s="24"/>
      <c r="OD92" s="24"/>
      <c r="OE92" s="24"/>
      <c r="OF92" s="24"/>
      <c r="OG92" s="24"/>
      <c r="OH92" s="24"/>
      <c r="OI92" s="24"/>
      <c r="OJ92" s="24"/>
      <c r="OK92" s="24"/>
      <c r="OL92" s="24"/>
      <c r="OM92" s="24"/>
      <c r="ON92" s="24"/>
      <c r="OO92" s="24"/>
      <c r="OP92" s="24"/>
      <c r="OQ92" s="24"/>
      <c r="OR92" s="24"/>
      <c r="OS92" s="24"/>
      <c r="OT92" s="24"/>
      <c r="OU92" s="24"/>
      <c r="OV92" s="24"/>
      <c r="OW92" s="24"/>
      <c r="OX92" s="24"/>
      <c r="OY92" s="24"/>
      <c r="OZ92" s="24"/>
      <c r="PA92" s="24"/>
      <c r="PB92" s="24"/>
      <c r="PC92" s="24"/>
      <c r="PD92" s="24"/>
      <c r="PE92" s="24"/>
      <c r="PF92" s="24"/>
      <c r="PG92" s="24"/>
      <c r="PH92" s="24"/>
      <c r="PI92" s="24"/>
      <c r="PJ92" s="24"/>
      <c r="PK92" s="24"/>
      <c r="PL92" s="24"/>
      <c r="PM92" s="24"/>
      <c r="PN92" s="24"/>
      <c r="PO92" s="24"/>
      <c r="PP92" s="24"/>
      <c r="PQ92" s="24"/>
      <c r="PR92" s="24"/>
      <c r="PS92" s="24"/>
      <c r="PT92" s="24"/>
      <c r="PU92" s="24"/>
      <c r="PV92" s="24"/>
      <c r="PW92" s="24"/>
      <c r="PX92" s="24"/>
    </row>
    <row r="93" spans="1:440" s="125" customFormat="1" ht="18" customHeight="1" x14ac:dyDescent="0.2">
      <c r="A93" s="28"/>
      <c r="B93" s="350" t="s">
        <v>91</v>
      </c>
      <c r="C93" s="351"/>
      <c r="D93" s="296"/>
      <c r="E93" s="297"/>
      <c r="F93" s="298"/>
      <c r="G93" s="256">
        <f t="shared" si="23"/>
        <v>0</v>
      </c>
      <c r="H93" s="257" t="str">
        <f>D28</f>
        <v>COL01</v>
      </c>
      <c r="I93" s="258" t="str">
        <f>D65</f>
        <v>COL01</v>
      </c>
      <c r="J93" s="259" t="e">
        <f t="shared" ref="J93:J94" si="24">+H93+I93</f>
        <v>#VALUE!</v>
      </c>
      <c r="K93" s="299"/>
      <c r="L93" s="300"/>
      <c r="M93" s="301"/>
      <c r="N93" s="260" t="e">
        <f t="shared" si="22"/>
        <v>#VALUE!</v>
      </c>
      <c r="O93" s="261" t="e">
        <f t="shared" si="21"/>
        <v>#VALUE!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  <c r="FU93" s="24"/>
      <c r="FV93" s="24"/>
      <c r="FW93" s="24"/>
      <c r="FX93" s="24"/>
      <c r="FY93" s="24"/>
      <c r="FZ93" s="24"/>
      <c r="GA93" s="24"/>
      <c r="GB93" s="24"/>
      <c r="GC93" s="24"/>
      <c r="GD93" s="24"/>
      <c r="GE93" s="24"/>
      <c r="GF93" s="24"/>
      <c r="GG93" s="24"/>
      <c r="GH93" s="24"/>
      <c r="GI93" s="24"/>
      <c r="GJ93" s="24"/>
      <c r="GK93" s="24"/>
      <c r="GL93" s="24"/>
      <c r="GM93" s="24"/>
      <c r="GN93" s="24"/>
      <c r="GO93" s="24"/>
      <c r="GP93" s="24"/>
      <c r="GQ93" s="24"/>
      <c r="GR93" s="24"/>
      <c r="GS93" s="24"/>
      <c r="GT93" s="24"/>
      <c r="GU93" s="24"/>
      <c r="GV93" s="24"/>
      <c r="GW93" s="24"/>
      <c r="GX93" s="24"/>
      <c r="GY93" s="24"/>
      <c r="GZ93" s="24"/>
      <c r="HA93" s="24"/>
      <c r="HB93" s="24"/>
      <c r="HC93" s="24"/>
      <c r="HD93" s="24"/>
      <c r="HE93" s="24"/>
      <c r="HF93" s="24"/>
      <c r="HG93" s="24"/>
      <c r="HH93" s="24"/>
      <c r="HI93" s="24"/>
      <c r="HJ93" s="24"/>
      <c r="HK93" s="24"/>
      <c r="HL93" s="24"/>
      <c r="HM93" s="24"/>
      <c r="HN93" s="24"/>
      <c r="HO93" s="24"/>
      <c r="HP93" s="24"/>
      <c r="HQ93" s="24"/>
      <c r="HR93" s="24"/>
      <c r="HS93" s="24"/>
      <c r="HT93" s="24"/>
      <c r="HU93" s="24"/>
      <c r="HV93" s="24"/>
      <c r="HW93" s="24"/>
      <c r="HX93" s="24"/>
      <c r="HY93" s="24"/>
      <c r="HZ93" s="24"/>
      <c r="IA93" s="24"/>
      <c r="IB93" s="24"/>
      <c r="IC93" s="24"/>
      <c r="ID93" s="24"/>
      <c r="IE93" s="24"/>
      <c r="IF93" s="24"/>
      <c r="IG93" s="24"/>
      <c r="IH93" s="24"/>
      <c r="II93" s="24"/>
      <c r="IJ93" s="24"/>
      <c r="IK93" s="24"/>
      <c r="IL93" s="24"/>
      <c r="IM93" s="24"/>
      <c r="IN93" s="24"/>
      <c r="IO93" s="24"/>
      <c r="IP93" s="24"/>
      <c r="IQ93" s="24"/>
      <c r="IR93" s="24"/>
      <c r="IS93" s="24"/>
      <c r="IT93" s="24"/>
      <c r="IU93" s="24"/>
      <c r="IV93" s="24"/>
      <c r="IW93" s="24"/>
      <c r="IX93" s="24"/>
      <c r="IY93" s="24"/>
      <c r="IZ93" s="24"/>
      <c r="JA93" s="24"/>
      <c r="JB93" s="24"/>
      <c r="JC93" s="24"/>
      <c r="JD93" s="24"/>
      <c r="JE93" s="24"/>
      <c r="JF93" s="24"/>
      <c r="JG93" s="24"/>
      <c r="JH93" s="24"/>
      <c r="JI93" s="24"/>
      <c r="JJ93" s="24"/>
      <c r="JK93" s="24"/>
      <c r="JL93" s="24"/>
      <c r="JM93" s="24"/>
      <c r="JN93" s="24"/>
      <c r="JO93" s="24"/>
      <c r="JP93" s="24"/>
      <c r="JQ93" s="24"/>
      <c r="JR93" s="24"/>
      <c r="JS93" s="24"/>
      <c r="JT93" s="24"/>
      <c r="JU93" s="24"/>
      <c r="JV93" s="24"/>
      <c r="JW93" s="24"/>
      <c r="JX93" s="24"/>
      <c r="JY93" s="24"/>
      <c r="JZ93" s="24"/>
      <c r="KA93" s="24"/>
      <c r="KB93" s="24"/>
      <c r="KC93" s="24"/>
      <c r="KD93" s="24"/>
      <c r="KE93" s="24"/>
      <c r="KF93" s="24"/>
      <c r="KG93" s="24"/>
      <c r="KH93" s="24"/>
      <c r="KI93" s="24"/>
      <c r="KJ93" s="24"/>
      <c r="KK93" s="24"/>
      <c r="KL93" s="24"/>
      <c r="KM93" s="24"/>
      <c r="KN93" s="24"/>
      <c r="KO93" s="24"/>
      <c r="KP93" s="24"/>
      <c r="KQ93" s="24"/>
      <c r="KR93" s="24"/>
      <c r="KS93" s="24"/>
      <c r="KT93" s="24"/>
      <c r="KU93" s="24"/>
      <c r="KV93" s="24"/>
      <c r="KW93" s="24"/>
      <c r="KX93" s="24"/>
      <c r="KY93" s="24"/>
      <c r="KZ93" s="24"/>
      <c r="LA93" s="24"/>
      <c r="LB93" s="24"/>
      <c r="LC93" s="24"/>
      <c r="LD93" s="24"/>
      <c r="LE93" s="24"/>
      <c r="LF93" s="24"/>
      <c r="LG93" s="24"/>
      <c r="LH93" s="24"/>
      <c r="LI93" s="24"/>
      <c r="LJ93" s="24"/>
      <c r="LK93" s="24"/>
      <c r="LL93" s="24"/>
      <c r="LM93" s="24"/>
      <c r="LN93" s="24"/>
      <c r="LO93" s="24"/>
      <c r="LP93" s="24"/>
      <c r="LQ93" s="24"/>
      <c r="LR93" s="24"/>
      <c r="LS93" s="24"/>
      <c r="LT93" s="24"/>
      <c r="LU93" s="24"/>
      <c r="LV93" s="24"/>
      <c r="LW93" s="24"/>
      <c r="LX93" s="24"/>
      <c r="LY93" s="24"/>
      <c r="LZ93" s="24"/>
      <c r="MA93" s="24"/>
      <c r="MB93" s="24"/>
      <c r="MC93" s="24"/>
      <c r="MD93" s="24"/>
      <c r="ME93" s="24"/>
      <c r="MF93" s="24"/>
      <c r="MG93" s="24"/>
      <c r="MH93" s="24"/>
      <c r="MI93" s="24"/>
      <c r="MJ93" s="24"/>
      <c r="MK93" s="24"/>
      <c r="ML93" s="24"/>
      <c r="MM93" s="24"/>
      <c r="MN93" s="24"/>
      <c r="MO93" s="24"/>
      <c r="MP93" s="24"/>
      <c r="MQ93" s="24"/>
      <c r="MR93" s="24"/>
      <c r="MS93" s="24"/>
      <c r="MT93" s="24"/>
      <c r="MU93" s="24"/>
      <c r="MV93" s="24"/>
      <c r="MW93" s="24"/>
      <c r="MX93" s="24"/>
      <c r="MY93" s="24"/>
      <c r="MZ93" s="24"/>
      <c r="NA93" s="24"/>
      <c r="NB93" s="24"/>
      <c r="NC93" s="24"/>
      <c r="ND93" s="24"/>
      <c r="NE93" s="24"/>
      <c r="NF93" s="24"/>
      <c r="NG93" s="24"/>
      <c r="NH93" s="24"/>
      <c r="NI93" s="24"/>
      <c r="NJ93" s="24"/>
      <c r="NK93" s="24"/>
      <c r="NL93" s="24"/>
      <c r="NM93" s="24"/>
      <c r="NN93" s="24"/>
      <c r="NO93" s="24"/>
      <c r="NP93" s="24"/>
      <c r="NQ93" s="24"/>
      <c r="NR93" s="24"/>
      <c r="NS93" s="24"/>
      <c r="NT93" s="24"/>
      <c r="NU93" s="24"/>
      <c r="NV93" s="24"/>
      <c r="NW93" s="24"/>
      <c r="NX93" s="24"/>
      <c r="NY93" s="24"/>
      <c r="NZ93" s="24"/>
      <c r="OA93" s="24"/>
      <c r="OB93" s="24"/>
      <c r="OC93" s="24"/>
      <c r="OD93" s="24"/>
      <c r="OE93" s="24"/>
      <c r="OF93" s="24"/>
      <c r="OG93" s="24"/>
      <c r="OH93" s="24"/>
      <c r="OI93" s="24"/>
      <c r="OJ93" s="24"/>
      <c r="OK93" s="24"/>
      <c r="OL93" s="24"/>
      <c r="OM93" s="24"/>
      <c r="ON93" s="24"/>
      <c r="OO93" s="24"/>
      <c r="OP93" s="24"/>
      <c r="OQ93" s="24"/>
      <c r="OR93" s="24"/>
      <c r="OS93" s="24"/>
      <c r="OT93" s="24"/>
      <c r="OU93" s="24"/>
      <c r="OV93" s="24"/>
      <c r="OW93" s="24"/>
      <c r="OX93" s="24"/>
      <c r="OY93" s="24"/>
      <c r="OZ93" s="24"/>
      <c r="PA93" s="24"/>
      <c r="PB93" s="24"/>
      <c r="PC93" s="24"/>
      <c r="PD93" s="24"/>
      <c r="PE93" s="24"/>
      <c r="PF93" s="24"/>
      <c r="PG93" s="24"/>
      <c r="PH93" s="24"/>
      <c r="PI93" s="24"/>
      <c r="PJ93" s="24"/>
      <c r="PK93" s="24"/>
      <c r="PL93" s="24"/>
      <c r="PM93" s="24"/>
      <c r="PN93" s="24"/>
      <c r="PO93" s="24"/>
      <c r="PP93" s="24"/>
      <c r="PQ93" s="24"/>
      <c r="PR93" s="24"/>
      <c r="PS93" s="24"/>
      <c r="PT93" s="24"/>
      <c r="PU93" s="24"/>
      <c r="PV93" s="24"/>
      <c r="PW93" s="24"/>
      <c r="PX93" s="24"/>
    </row>
    <row r="94" spans="1:440" s="125" customFormat="1" ht="18" customHeight="1" x14ac:dyDescent="0.2">
      <c r="A94" s="28"/>
      <c r="B94" s="432" t="s">
        <v>121</v>
      </c>
      <c r="C94" s="433"/>
      <c r="D94" s="302"/>
      <c r="E94" s="303"/>
      <c r="F94" s="304"/>
      <c r="G94" s="256">
        <f t="shared" si="23"/>
        <v>0</v>
      </c>
      <c r="H94" s="262" t="str">
        <f>D29</f>
        <v>COL01</v>
      </c>
      <c r="I94" s="263" t="str">
        <f>D66</f>
        <v>COL01</v>
      </c>
      <c r="J94" s="264" t="e">
        <f t="shared" si="24"/>
        <v>#VALUE!</v>
      </c>
      <c r="K94" s="305"/>
      <c r="L94" s="306"/>
      <c r="M94" s="307"/>
      <c r="N94" s="265" t="e">
        <f t="shared" si="22"/>
        <v>#VALUE!</v>
      </c>
      <c r="O94" s="266" t="e">
        <f t="shared" si="21"/>
        <v>#VALUE!</v>
      </c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  <c r="FU94" s="24"/>
      <c r="FV94" s="24"/>
      <c r="FW94" s="24"/>
      <c r="FX94" s="24"/>
      <c r="FY94" s="24"/>
      <c r="FZ94" s="24"/>
      <c r="GA94" s="24"/>
      <c r="GB94" s="24"/>
      <c r="GC94" s="24"/>
      <c r="GD94" s="24"/>
      <c r="GE94" s="24"/>
      <c r="GF94" s="24"/>
      <c r="GG94" s="24"/>
      <c r="GH94" s="24"/>
      <c r="GI94" s="24"/>
      <c r="GJ94" s="24"/>
      <c r="GK94" s="24"/>
      <c r="GL94" s="24"/>
      <c r="GM94" s="24"/>
      <c r="GN94" s="24"/>
      <c r="GO94" s="24"/>
      <c r="GP94" s="24"/>
      <c r="GQ94" s="24"/>
      <c r="GR94" s="24"/>
      <c r="GS94" s="24"/>
      <c r="GT94" s="24"/>
      <c r="GU94" s="24"/>
      <c r="GV94" s="24"/>
      <c r="GW94" s="24"/>
      <c r="GX94" s="24"/>
      <c r="GY94" s="24"/>
      <c r="GZ94" s="24"/>
      <c r="HA94" s="24"/>
      <c r="HB94" s="24"/>
      <c r="HC94" s="24"/>
      <c r="HD94" s="24"/>
      <c r="HE94" s="24"/>
      <c r="HF94" s="24"/>
      <c r="HG94" s="24"/>
      <c r="HH94" s="24"/>
      <c r="HI94" s="24"/>
      <c r="HJ94" s="24"/>
      <c r="HK94" s="24"/>
      <c r="HL94" s="24"/>
      <c r="HM94" s="24"/>
      <c r="HN94" s="24"/>
      <c r="HO94" s="24"/>
      <c r="HP94" s="24"/>
      <c r="HQ94" s="24"/>
      <c r="HR94" s="24"/>
      <c r="HS94" s="24"/>
      <c r="HT94" s="24"/>
      <c r="HU94" s="24"/>
      <c r="HV94" s="24"/>
      <c r="HW94" s="24"/>
      <c r="HX94" s="24"/>
      <c r="HY94" s="24"/>
      <c r="HZ94" s="24"/>
      <c r="IA94" s="24"/>
      <c r="IB94" s="24"/>
      <c r="IC94" s="24"/>
      <c r="ID94" s="24"/>
      <c r="IE94" s="24"/>
      <c r="IF94" s="24"/>
      <c r="IG94" s="24"/>
      <c r="IH94" s="24"/>
      <c r="II94" s="24"/>
      <c r="IJ94" s="24"/>
      <c r="IK94" s="24"/>
      <c r="IL94" s="24"/>
      <c r="IM94" s="24"/>
      <c r="IN94" s="24"/>
      <c r="IO94" s="24"/>
      <c r="IP94" s="24"/>
      <c r="IQ94" s="24"/>
      <c r="IR94" s="24"/>
      <c r="IS94" s="24"/>
      <c r="IT94" s="24"/>
      <c r="IU94" s="24"/>
      <c r="IV94" s="24"/>
      <c r="IW94" s="24"/>
      <c r="IX94" s="24"/>
      <c r="IY94" s="24"/>
      <c r="IZ94" s="24"/>
      <c r="JA94" s="24"/>
      <c r="JB94" s="24"/>
      <c r="JC94" s="24"/>
      <c r="JD94" s="24"/>
      <c r="JE94" s="24"/>
      <c r="JF94" s="24"/>
      <c r="JG94" s="24"/>
      <c r="JH94" s="24"/>
      <c r="JI94" s="24"/>
      <c r="JJ94" s="24"/>
      <c r="JK94" s="24"/>
      <c r="JL94" s="24"/>
      <c r="JM94" s="24"/>
      <c r="JN94" s="24"/>
      <c r="JO94" s="24"/>
      <c r="JP94" s="24"/>
      <c r="JQ94" s="24"/>
      <c r="JR94" s="24"/>
      <c r="JS94" s="24"/>
      <c r="JT94" s="24"/>
      <c r="JU94" s="24"/>
      <c r="JV94" s="24"/>
      <c r="JW94" s="24"/>
      <c r="JX94" s="24"/>
      <c r="JY94" s="24"/>
      <c r="JZ94" s="24"/>
      <c r="KA94" s="24"/>
      <c r="KB94" s="24"/>
      <c r="KC94" s="24"/>
      <c r="KD94" s="24"/>
      <c r="KE94" s="24"/>
      <c r="KF94" s="24"/>
      <c r="KG94" s="24"/>
      <c r="KH94" s="24"/>
      <c r="KI94" s="24"/>
      <c r="KJ94" s="24"/>
      <c r="KK94" s="24"/>
      <c r="KL94" s="24"/>
      <c r="KM94" s="24"/>
      <c r="KN94" s="24"/>
      <c r="KO94" s="24"/>
      <c r="KP94" s="24"/>
      <c r="KQ94" s="24"/>
      <c r="KR94" s="24"/>
      <c r="KS94" s="24"/>
      <c r="KT94" s="24"/>
      <c r="KU94" s="24"/>
      <c r="KV94" s="24"/>
      <c r="KW94" s="24"/>
      <c r="KX94" s="24"/>
      <c r="KY94" s="24"/>
      <c r="KZ94" s="24"/>
      <c r="LA94" s="24"/>
      <c r="LB94" s="24"/>
      <c r="LC94" s="24"/>
      <c r="LD94" s="24"/>
      <c r="LE94" s="24"/>
      <c r="LF94" s="24"/>
      <c r="LG94" s="24"/>
      <c r="LH94" s="24"/>
      <c r="LI94" s="24"/>
      <c r="LJ94" s="24"/>
      <c r="LK94" s="24"/>
      <c r="LL94" s="24"/>
      <c r="LM94" s="24"/>
      <c r="LN94" s="24"/>
      <c r="LO94" s="24"/>
      <c r="LP94" s="24"/>
      <c r="LQ94" s="24"/>
      <c r="LR94" s="24"/>
      <c r="LS94" s="24"/>
      <c r="LT94" s="24"/>
      <c r="LU94" s="24"/>
      <c r="LV94" s="24"/>
      <c r="LW94" s="24"/>
      <c r="LX94" s="24"/>
      <c r="LY94" s="24"/>
      <c r="LZ94" s="24"/>
      <c r="MA94" s="24"/>
      <c r="MB94" s="24"/>
      <c r="MC94" s="24"/>
      <c r="MD94" s="24"/>
      <c r="ME94" s="24"/>
      <c r="MF94" s="24"/>
      <c r="MG94" s="24"/>
      <c r="MH94" s="24"/>
      <c r="MI94" s="24"/>
      <c r="MJ94" s="24"/>
      <c r="MK94" s="24"/>
      <c r="ML94" s="24"/>
      <c r="MM94" s="24"/>
      <c r="MN94" s="24"/>
      <c r="MO94" s="24"/>
      <c r="MP94" s="24"/>
      <c r="MQ94" s="24"/>
      <c r="MR94" s="24"/>
      <c r="MS94" s="24"/>
      <c r="MT94" s="24"/>
      <c r="MU94" s="24"/>
      <c r="MV94" s="24"/>
      <c r="MW94" s="24"/>
      <c r="MX94" s="24"/>
      <c r="MY94" s="24"/>
      <c r="MZ94" s="24"/>
      <c r="NA94" s="24"/>
      <c r="NB94" s="24"/>
      <c r="NC94" s="24"/>
      <c r="ND94" s="24"/>
      <c r="NE94" s="24"/>
      <c r="NF94" s="24"/>
      <c r="NG94" s="24"/>
      <c r="NH94" s="24"/>
      <c r="NI94" s="24"/>
      <c r="NJ94" s="24"/>
      <c r="NK94" s="24"/>
      <c r="NL94" s="24"/>
      <c r="NM94" s="24"/>
      <c r="NN94" s="24"/>
      <c r="NO94" s="24"/>
      <c r="NP94" s="24"/>
      <c r="NQ94" s="24"/>
      <c r="NR94" s="24"/>
      <c r="NS94" s="24"/>
      <c r="NT94" s="24"/>
      <c r="NU94" s="24"/>
      <c r="NV94" s="24"/>
      <c r="NW94" s="24"/>
      <c r="NX94" s="24"/>
      <c r="NY94" s="24"/>
      <c r="NZ94" s="24"/>
      <c r="OA94" s="24"/>
      <c r="OB94" s="24"/>
      <c r="OC94" s="24"/>
      <c r="OD94" s="24"/>
      <c r="OE94" s="24"/>
      <c r="OF94" s="24"/>
      <c r="OG94" s="24"/>
      <c r="OH94" s="24"/>
      <c r="OI94" s="24"/>
      <c r="OJ94" s="24"/>
      <c r="OK94" s="24"/>
      <c r="OL94" s="24"/>
      <c r="OM94" s="24"/>
      <c r="ON94" s="24"/>
      <c r="OO94" s="24"/>
      <c r="OP94" s="24"/>
      <c r="OQ94" s="24"/>
      <c r="OR94" s="24"/>
      <c r="OS94" s="24"/>
      <c r="OT94" s="24"/>
      <c r="OU94" s="24"/>
      <c r="OV94" s="24"/>
      <c r="OW94" s="24"/>
      <c r="OX94" s="24"/>
      <c r="OY94" s="24"/>
      <c r="OZ94" s="24"/>
      <c r="PA94" s="24"/>
      <c r="PB94" s="24"/>
      <c r="PC94" s="24"/>
      <c r="PD94" s="24"/>
      <c r="PE94" s="24"/>
      <c r="PF94" s="24"/>
      <c r="PG94" s="24"/>
      <c r="PH94" s="24"/>
      <c r="PI94" s="24"/>
      <c r="PJ94" s="24"/>
      <c r="PK94" s="24"/>
      <c r="PL94" s="24"/>
      <c r="PM94" s="24"/>
      <c r="PN94" s="24"/>
      <c r="PO94" s="24"/>
      <c r="PP94" s="24"/>
      <c r="PQ94" s="24"/>
      <c r="PR94" s="24"/>
      <c r="PS94" s="24"/>
      <c r="PT94" s="24"/>
      <c r="PU94" s="24"/>
      <c r="PV94" s="24"/>
      <c r="PW94" s="24"/>
      <c r="PX94" s="24"/>
    </row>
    <row r="95" spans="1:440" ht="18" customHeight="1" x14ac:dyDescent="0.2">
      <c r="B95" s="434" t="s">
        <v>122</v>
      </c>
      <c r="C95" s="434"/>
      <c r="D95" s="267">
        <f t="shared" ref="D95:O95" si="25">SUM(D87,D88:D94)</f>
        <v>0</v>
      </c>
      <c r="E95" s="268">
        <f t="shared" si="25"/>
        <v>0</v>
      </c>
      <c r="F95" s="269">
        <f t="shared" si="25"/>
        <v>0</v>
      </c>
      <c r="G95" s="270">
        <f t="shared" si="25"/>
        <v>0</v>
      </c>
      <c r="H95" s="271" t="e">
        <f t="shared" si="25"/>
        <v>#VALUE!</v>
      </c>
      <c r="I95" s="271" t="e">
        <f t="shared" si="25"/>
        <v>#VALUE!</v>
      </c>
      <c r="J95" s="272" t="e">
        <f t="shared" si="25"/>
        <v>#VALUE!</v>
      </c>
      <c r="K95" s="270">
        <f t="shared" si="25"/>
        <v>0</v>
      </c>
      <c r="L95" s="271">
        <f t="shared" si="25"/>
        <v>0</v>
      </c>
      <c r="M95" s="272">
        <f t="shared" si="25"/>
        <v>0</v>
      </c>
      <c r="N95" s="273" t="e">
        <f t="shared" si="25"/>
        <v>#VALUE!</v>
      </c>
      <c r="O95" s="267" t="e">
        <f t="shared" si="25"/>
        <v>#VALUE!</v>
      </c>
      <c r="Q95" s="24"/>
      <c r="Y95" s="115"/>
      <c r="Z95" s="116"/>
      <c r="AA95" s="116"/>
      <c r="AB95" s="116"/>
      <c r="AC95" s="116"/>
      <c r="AD95" s="116"/>
      <c r="AE95" s="116"/>
      <c r="AF95" s="116"/>
      <c r="AG95" s="116"/>
      <c r="AH95" s="116"/>
    </row>
    <row r="96" spans="1:440" x14ac:dyDescent="0.2">
      <c r="Y96" s="115"/>
    </row>
    <row r="97" spans="2:25" x14ac:dyDescent="0.2">
      <c r="Y97" s="115"/>
    </row>
    <row r="110" spans="2:25" ht="13.2" hidden="1" x14ac:dyDescent="0.25">
      <c r="B110" s="325">
        <f>SUM(D13:D16,D18:D22,D24:D26,D28:D29,D37:D40,D42,D50:D53,D55:D59,D61:D63,D65:D66,D75:D78,D80,D87:D94)</f>
        <v>0</v>
      </c>
      <c r="C110" s="326" t="e">
        <f>SUM(AI13:AL80)</f>
        <v>#VALUE!</v>
      </c>
    </row>
    <row r="147" spans="2:33" ht="23.25" hidden="1" customHeight="1" x14ac:dyDescent="0.2"/>
    <row r="148" spans="2:33" hidden="1" x14ac:dyDescent="0.2">
      <c r="B148" s="38" t="e">
        <f>SUM(C8:R95)</f>
        <v>#VALUE!</v>
      </c>
      <c r="AG148" s="115" t="e">
        <f>SUM(AF1:AJ147)</f>
        <v>#VALUE!</v>
      </c>
    </row>
    <row r="149" spans="2:33" ht="23.25" hidden="1" customHeight="1" x14ac:dyDescent="0.2"/>
  </sheetData>
  <mergeCells count="115">
    <mergeCell ref="E10:E12"/>
    <mergeCell ref="F10:F12"/>
    <mergeCell ref="B77:C77"/>
    <mergeCell ref="G71:M71"/>
    <mergeCell ref="N71:O71"/>
    <mergeCell ref="P71:R71"/>
    <mergeCell ref="G72:G74"/>
    <mergeCell ref="H72:H74"/>
    <mergeCell ref="I72:I74"/>
    <mergeCell ref="J72:J74"/>
    <mergeCell ref="K72:K74"/>
    <mergeCell ref="L72:L74"/>
    <mergeCell ref="M72:M74"/>
    <mergeCell ref="N72:N74"/>
    <mergeCell ref="O72:O74"/>
    <mergeCell ref="P72:P74"/>
    <mergeCell ref="B28:B30"/>
    <mergeCell ref="B13:B17"/>
    <mergeCell ref="B18:B23"/>
    <mergeCell ref="B24:B27"/>
    <mergeCell ref="B31:C31"/>
    <mergeCell ref="B33:C36"/>
    <mergeCell ref="D33:D36"/>
    <mergeCell ref="E33:E36"/>
    <mergeCell ref="B91:C91"/>
    <mergeCell ref="B92:C92"/>
    <mergeCell ref="B93:C93"/>
    <mergeCell ref="B94:C94"/>
    <mergeCell ref="B95:C95"/>
    <mergeCell ref="B42:C42"/>
    <mergeCell ref="B6:L6"/>
    <mergeCell ref="B7:R7"/>
    <mergeCell ref="B9:B12"/>
    <mergeCell ref="C9:C12"/>
    <mergeCell ref="D9:D12"/>
    <mergeCell ref="E9:K9"/>
    <mergeCell ref="M10:M12"/>
    <mergeCell ref="L9:M9"/>
    <mergeCell ref="L10:L12"/>
    <mergeCell ref="N10:N12"/>
    <mergeCell ref="K10:K12"/>
    <mergeCell ref="I10:I12"/>
    <mergeCell ref="J10:J12"/>
    <mergeCell ref="P10:P12"/>
    <mergeCell ref="O10:O12"/>
    <mergeCell ref="N9:P9"/>
    <mergeCell ref="G10:G12"/>
    <mergeCell ref="H10:H12"/>
    <mergeCell ref="F33:F36"/>
    <mergeCell ref="G33:M33"/>
    <mergeCell ref="N33:O33"/>
    <mergeCell ref="P33:R33"/>
    <mergeCell ref="G34:G36"/>
    <mergeCell ref="H34:H36"/>
    <mergeCell ref="I34:I36"/>
    <mergeCell ref="J34:J36"/>
    <mergeCell ref="K34:K36"/>
    <mergeCell ref="L34:L36"/>
    <mergeCell ref="M34:M36"/>
    <mergeCell ref="N34:N36"/>
    <mergeCell ref="O34:O36"/>
    <mergeCell ref="P34:P36"/>
    <mergeCell ref="Q34:Q36"/>
    <mergeCell ref="R34:R36"/>
    <mergeCell ref="B37:C37"/>
    <mergeCell ref="B39:C39"/>
    <mergeCell ref="B41:C41"/>
    <mergeCell ref="B46:B49"/>
    <mergeCell ref="C46:C49"/>
    <mergeCell ref="D46:D49"/>
    <mergeCell ref="E46:K46"/>
    <mergeCell ref="L46:M46"/>
    <mergeCell ref="N46:P46"/>
    <mergeCell ref="E47:E49"/>
    <mergeCell ref="F47:F49"/>
    <mergeCell ref="G47:G49"/>
    <mergeCell ref="H47:H49"/>
    <mergeCell ref="I47:I49"/>
    <mergeCell ref="J47:J49"/>
    <mergeCell ref="K47:K49"/>
    <mergeCell ref="L47:L49"/>
    <mergeCell ref="M47:M49"/>
    <mergeCell ref="N47:N49"/>
    <mergeCell ref="O47:O49"/>
    <mergeCell ref="P47:P49"/>
    <mergeCell ref="B50:B54"/>
    <mergeCell ref="B55:B60"/>
    <mergeCell ref="B61:B64"/>
    <mergeCell ref="B65:B67"/>
    <mergeCell ref="B68:C68"/>
    <mergeCell ref="B71:C74"/>
    <mergeCell ref="D71:D74"/>
    <mergeCell ref="E71:E74"/>
    <mergeCell ref="F71:F74"/>
    <mergeCell ref="B90:C90"/>
    <mergeCell ref="Q72:Q74"/>
    <mergeCell ref="R72:R74"/>
    <mergeCell ref="B75:C75"/>
    <mergeCell ref="B78:C78"/>
    <mergeCell ref="B79:C79"/>
    <mergeCell ref="B80:C80"/>
    <mergeCell ref="B84:C86"/>
    <mergeCell ref="D84:D86"/>
    <mergeCell ref="E84:F84"/>
    <mergeCell ref="G84:G86"/>
    <mergeCell ref="H84:N84"/>
    <mergeCell ref="O84:O86"/>
    <mergeCell ref="E85:E86"/>
    <mergeCell ref="F85:F86"/>
    <mergeCell ref="H85:J85"/>
    <mergeCell ref="K85:K86"/>
    <mergeCell ref="L85:L86"/>
    <mergeCell ref="M85:M86"/>
    <mergeCell ref="N85:N86"/>
    <mergeCell ref="B89:C89"/>
  </mergeCells>
  <phoneticPr fontId="25" type="noConversion"/>
  <dataValidations count="23">
    <dataValidation type="whole" allowBlank="1" showInputMessage="1" showErrorMessage="1" errorTitle="ERROR" error="Por favor ingrese solo Números." sqref="F58:G58 E60:G60 R53:W54 I15:K17 E64:I64 E17:G17 J62:K64 N38:N41 S71:X74 E54:G54 I52:K54 N76:N79 H58:K60 L53:L54 G41:M41 O33:O37 G79:M79 O71:O75 E1:M12 B149:B1048576 O39:R41 L16:L17 B96:B109 G33 G34:M36 N33:N36 G71 E75:F80 G72:M74 N71:N74 E37:F42 Y71:Z80 AA71:AB74 T33:Z42 S33:S36 AF1:XFD8 AF32:XFD32 N1:AA8 M32:AA32 L70:AA70 R46:W49 AF96:XFD1048576 L62:P69 H86:J86 E30:L32 N53:P54 M59:P60 B5:B12 N43:AA45 E43:M49 E67:K70 B111:B147 L81:L84 M81:O86 K81:K86 AF81:XFD83 P81:AA83 H81:J84 F81:G86 E81:E84 B69:B76 D96:AA1048576 B1 AL79:AN79 AA33:AB36 AG71:AN74 Q59:W69 AE16:AH31 AD9:XFD9 Q9:Y9 N16:P17 AJ16:XFD31 M57:P57 Q10:Q13 M14:M17 H14:H17 E14:G15 Q16:Q31 AD84:XFD95 R10:Z31 L56:L60 F56:H56 E56:E58 Q53:Q57 X46:AA69 B40:B49 Q46:Q50 E51:G52 M51:M54 Q51:W51 H51:H54 P84:Y95 B31:B38 AJ10:AM13 AI17:AI31 AI10:AI12 AG33:XFD36 AO37:XFD42 AJ38:AJ41 AK39:AK41 AI41 AL41:AN41 AI53:AL70 AG14:AH15 O77:R79 AF43:AH70 AM43:XFD70 AI43:AL51 AO71:XFD80 AJ76:AJ79 AK77:AK79 AI79 B80:B86 AN10:XFD15 AE10:AH13 E23:P23 D1:D86 E27:P27 M30:P31" xr:uid="{018C3983-E3B6-4A38-AE3A-B24E0D20A7FB}">
      <formula1>0</formula1>
      <formula2>100000000000000</formula2>
    </dataValidation>
    <dataValidation type="decimal" allowBlank="1" showInputMessage="1" showErrorMessage="1" errorTitle="ERROR" error="Por favor ingrese solo Números." sqref="H92:J94 D95:O95 G87:J91 N87:O94" xr:uid="{DC97A340-ABA2-418F-BCBC-832F871A0CA2}">
      <formula1>0</formula1>
      <formula2>100000000000000</formula2>
    </dataValidation>
    <dataValidation allowBlank="1" showInputMessage="1" errorTitle="ERROR" error="Por favor ingrese solo Números." sqref="S75:X80 S37:S40 S42" xr:uid="{4880E5CC-69BD-4C85-B79D-342955904418}"/>
    <dataValidation allowBlank="1" showInputMessage="1" showErrorMessage="1" errorTitle="ERROR" error="Por favor ingrese solo Números." sqref="B39 B77:B78 P71:P74 Q72:R74 Q34:R36 E33:F36 E71:F74 C87:C89 AB1:AE8 AB32:AE32 N9:N12 N46:N49 P33:P36 Z84:AC95 O47:P49 Q14:Q15 B61:B67 E85:E86 H85:J85 AB96:AE1048576 C91:C95 O10:P12 AB81:AE83 AI38:AK40 AC71:AF74 AC33:AF36 AB37:AB42 Z9:AC9 AI52:AL52 AH80:AN80 AB14:AF15 AA10:AA31 AB43:AE70 AI13:AI16 S41 AB10:AD13 AH38:AH41 AC39:AG41 AL37:AN40 AI37:AJ37 AA75:AB80 AH42:AN42 AI76:AK78 AH76:AH79 AC77:AG79 AL75:AN78 Q52 B68:C68 B79:C79 B87:B95 AI75:AJ75 AB16:AD31 AJ14:AM15" xr:uid="{4DF7124F-DCEA-4B8A-AE77-E63DE5613763}"/>
    <dataValidation type="whole" operator="greaterThanOrEqual" allowBlank="1" showInputMessage="1" showErrorMessage="1" errorTitle="ERROR" error="Por favor ingrese solo Números." prompt="Sólo excepciones normativas" sqref="L78:M78" xr:uid="{2F9237A4-6CD1-40F6-8AA3-DAAF8B0FC864}">
      <formula1>0</formula1>
    </dataValidation>
    <dataValidation type="whole" operator="greaterThanOrEqual" allowBlank="1" showInputMessage="1" showErrorMessage="1" errorTitle="ERROR" error="Por favor ingrese solo Números." sqref="O76 P75:R76 E18:F22 L75:M76 G80:R80 G75:K78 H62:I63 N75 E63 E13:F13 E24:F26 E28:F29" xr:uid="{A36AEC84-89FC-43A0-8CFF-D191ADC5EF4D}">
      <formula1>0</formula1>
    </dataValidation>
    <dataValidation type="whole" operator="greaterThanOrEqual" allowBlank="1" showInputMessage="1" showErrorMessage="1" sqref="N37 G37:K40 L37:M38 G42:R42 P37:R37 O38:R38" xr:uid="{57389A8A-9999-4B5D-9DC6-9885061DE82C}">
      <formula1>0</formula1>
    </dataValidation>
    <dataValidation type="whole" operator="greaterThanOrEqual" allowBlank="1" showInputMessage="1" showErrorMessage="1" prompt="Sólo excepciones normativas" sqref="L40:M40" xr:uid="{FE615F90-3A62-4C12-9022-95FC3AAE1415}">
      <formula1>0</formula1>
    </dataValidation>
    <dataValidation type="whole" operator="greaterThanOrEqual" allowBlank="1" showErrorMessage="1" prompt="Sólo excepciones de acuerdo a Norma Técnica." sqref="L39:M39" xr:uid="{8E843A7D-D6C3-4B45-87C9-ABC4FE923ED1}">
      <formula1>0</formula1>
    </dataValidation>
    <dataValidation type="custom" operator="greaterThanOrEqual" allowBlank="1" showInputMessage="1" showErrorMessage="1" errorTitle="ERROR" error="Sólo se permiten enteros o mitades (Ej: 0,5)." sqref="M58:P58 I14 G13 L15 L52 I56:K56 N52:P52 N15:P15 I51 G18:G22 G24:G26 G28:G29" xr:uid="{6EF6BE47-4667-419D-9DE4-35486A83C82F}">
      <formula1>MOD(G13,0.5)=0</formula1>
    </dataValidation>
    <dataValidation type="whole" operator="greaterThanOrEqual" allowBlank="1" showErrorMessage="1" errorTitle="ERROR" error="Por favor ingrese solo Números." prompt="Sólo excepciones de acuerdo a Norma Técnica." sqref="L77:M77" xr:uid="{C45C7888-FDEE-4E63-BC89-16C2E337B7AA}">
      <formula1>0</formula1>
    </dataValidation>
    <dataValidation type="custom" allowBlank="1" showInputMessage="1" showErrorMessage="1" errorTitle="ERROR" error="Por favor ingrese solo Números." sqref="G92:G94" xr:uid="{6B7E3E60-07C8-4E41-A7DF-16210F974048}">
      <formula1>MOD(F92,0.5)=0</formula1>
    </dataValidation>
    <dataValidation type="whole" operator="greaterThanOrEqual" allowBlank="1" showInputMessage="1" showErrorMessage="1" errorTitle="ERROR" error="Sólo se permiten números enteros." sqref="J14:K14 D87:F89 F57:K57 H13:I13 K87:M89 E50:I50 E55:K55 J51:K51 H18:I22 H24:I26 H28:I29" xr:uid="{AC7F1132-297C-4069-B7F8-746C977F5B09}">
      <formula1>0</formula1>
    </dataValidation>
    <dataValidation type="custom" allowBlank="1" showInputMessage="1" showErrorMessage="1" errorTitle="ERROR" error="Por favor ingrese solo Números (Máximo 3 decimales)." promptTitle="Registro:" prompt="Recuerde registrar en Kilogramos." sqref="E65:I66" xr:uid="{4A811A27-F16B-4B27-96DB-898AC7A0BA91}">
      <formula1>IF(ISNUMBER(E65),IFERROR(LEN(RIGHT(E65,LEN(E65)-FIND(",",E65))),0),4)&lt;=3</formula1>
    </dataValidation>
    <dataValidation type="whole" operator="greaterThanOrEqual" allowBlank="1" showErrorMessage="1" errorTitle="ERROR" error="Por favor ingrese solo Números Enteros." promptTitle="Registro:" prompt="Recuerde registrar en Kilogramos." sqref="F63:G63" xr:uid="{74D8EFAD-2EFE-4F9F-B288-F4D1B7BC92AD}">
      <formula1>0</formula1>
    </dataValidation>
    <dataValidation type="custom" allowBlank="1" showInputMessage="1" showErrorMessage="1" errorTitle="ERROR" error="Por favor ingrese solo Números (Máximo 3 decimales)." prompt="Sólo excepciones normativas" sqref="J66:K66 K65" xr:uid="{549AECB5-BB6F-4C33-926B-4750CEA5FB4A}">
      <formula1>IF(ISNUMBER(J65),IFERROR(LEN(RIGHT(J65,LEN(J65)-FIND(",",J65))),0),4)&lt;=3</formula1>
    </dataValidation>
    <dataValidation type="custom" allowBlank="1" showErrorMessage="1" errorTitle="ERROR" error="Por favor ingrese solo Números (Máximo 3 decimales)." promptTitle="Registro:" prompt="Recuerde registrar en Kilogramos." sqref="D91:F94 K91:M94 E53:G53 E16:G16 E61:G62 E59:G59" xr:uid="{47064F1E-4B04-4417-92AD-BA15E3171856}">
      <formula1>IF(ISNUMBER(D16),IFERROR(LEN(RIGHT(D16,LEN(D16)-FIND(",",D16))),0),4)&lt;=3</formula1>
    </dataValidation>
    <dataValidation type="custom" allowBlank="1" showInputMessage="1" showErrorMessage="1" errorTitle="ERROR" error="Sólo se permiten enteros o mitades (Ej: 0,5)." sqref="D90:F90 K90:M90" xr:uid="{AB267591-A3FF-42F9-9695-AE677B79A3E2}">
      <formula1>MOD(D90,0.5)=0</formula1>
    </dataValidation>
    <dataValidation type="whole" operator="greaterThanOrEqual" allowBlank="1" showErrorMessage="1" errorTitle="ERROR" error="Sólo se permiten números enteros." promptTitle="Registro" prompt="Sólo para celíacos." sqref="J13:P13 J50:P50 L55:P55 J18:P22 J24:P26 J28:P29" xr:uid="{9F5DBC69-A24D-4151-89ED-8EDB1DDCD663}">
      <formula1>0</formula1>
    </dataValidation>
    <dataValidation type="whole" allowBlank="1" showInputMessage="1" showErrorMessage="1" errorTitle="ERROR" error="Por favor ingrese solo Números." promptTitle="Registro" prompt="Solo excepciones normativas_x000a_" sqref="N14" xr:uid="{FD7C510B-34F5-47ED-A8D8-35E9BA52C50F}">
      <formula1>0</formula1>
      <formula2>100000000000000</formula2>
    </dataValidation>
    <dataValidation type="whole" allowBlank="1" showInputMessage="1" showErrorMessage="1" errorTitle="ERROR" error="Por favor ingrese solo Números." promptTitle="Registro" prompt="Solo excepciones normativas" sqref="P56 L14 O14:P14 M56:N56 L51 N51:P51" xr:uid="{6FB4D459-368F-44B4-A9E6-AEDE03DB750B}">
      <formula1>0</formula1>
      <formula2>100000000000000</formula2>
    </dataValidation>
    <dataValidation type="whole" allowBlank="1" showInputMessage="1" showErrorMessage="1" errorTitle="ERROR" error="Por favor ingrese solo Números." promptTitle="Registro " prompt="Solo excepciones normativas" sqref="O56" xr:uid="{11D99451-A564-4140-980B-218B06B1EF58}">
      <formula1>0</formula1>
      <formula2>100000000000000</formula2>
    </dataValidation>
    <dataValidation type="custom" allowBlank="1" showInputMessage="1" showErrorMessage="1" errorTitle="ERROR" error="Por favor ingrese solo Números (Máximo 3 decimales)." prompt="Solo excepciones normativas" sqref="J65" xr:uid="{8D747128-912F-4424-9F5A-E19731596CB6}">
      <formula1>IF(ISNUMBER(J65),IFERROR(LEN(RIGHT(J65,LEN(J65)-FIND(",",J65))),0),4)&lt;=3</formula1>
    </dataValidation>
  </dataValidations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D210"/>
  <sheetViews>
    <sheetView showGridLines="0" zoomScaleNormal="100" workbookViewId="0"/>
  </sheetViews>
  <sheetFormatPr baseColWidth="10" defaultColWidth="11.6640625" defaultRowHeight="10.199999999999999" x14ac:dyDescent="0.2"/>
  <cols>
    <col min="1" max="1" width="18.77734375" style="42" customWidth="1"/>
    <col min="2" max="2" width="45.33203125" style="42" customWidth="1"/>
    <col min="3" max="3" width="15.5546875" style="42" customWidth="1"/>
    <col min="4" max="4" width="18.33203125" style="42" customWidth="1"/>
    <col min="5" max="5" width="14.33203125" style="42" customWidth="1"/>
    <col min="6" max="6" width="11.5546875" style="42" customWidth="1"/>
    <col min="7" max="7" width="15.6640625" style="42" customWidth="1"/>
    <col min="8" max="8" width="13.6640625" style="42" customWidth="1"/>
    <col min="9" max="9" width="14.88671875" style="42" customWidth="1"/>
    <col min="10" max="10" width="15.109375" style="42" customWidth="1"/>
    <col min="11" max="11" width="12.6640625" style="42" customWidth="1"/>
    <col min="12" max="12" width="11.5546875" style="42" customWidth="1"/>
    <col min="13" max="13" width="14.6640625" style="42" customWidth="1"/>
    <col min="14" max="14" width="11" style="42" customWidth="1"/>
    <col min="15" max="16" width="10.88671875" style="42" customWidth="1"/>
    <col min="17" max="18" width="11.6640625" style="42" customWidth="1"/>
    <col min="19" max="21" width="11.33203125" style="42" customWidth="1"/>
    <col min="22" max="27" width="14" style="42" customWidth="1"/>
    <col min="28" max="30" width="14" style="42" hidden="1" customWidth="1"/>
    <col min="31" max="40" width="14" style="42" customWidth="1"/>
    <col min="41" max="41" width="13" style="42" customWidth="1"/>
    <col min="42" max="52" width="11.6640625" style="42" customWidth="1"/>
    <col min="53" max="16384" width="11.6640625" style="42"/>
  </cols>
  <sheetData>
    <row r="1" spans="1:30" s="24" customFormat="1" ht="12.75" customHeight="1" x14ac:dyDescent="0.2">
      <c r="B1" s="23" t="s">
        <v>10</v>
      </c>
    </row>
    <row r="2" spans="1:30" s="24" customFormat="1" ht="12.75" customHeight="1" x14ac:dyDescent="0.2">
      <c r="B2" s="23" t="str">
        <f>CONCATENATE("COMUNA: ",NOMBRE!$B$2,"  ","( ",NOMBRE!$C$2,NOMBRE!$D$2,NOMBRE!$E$2,NOMBRE!$F$2,NOMBRE!$G$2," )")</f>
        <v>COMUNA:   (  )</v>
      </c>
    </row>
    <row r="3" spans="1:30" s="24" customFormat="1" ht="12.75" customHeight="1" x14ac:dyDescent="0.2">
      <c r="B3" s="23" t="str">
        <f>CONCATENATE("ESTABLECIMIENTO/ESTRATEGIA: ",NOMBRE!$B$3,"  ","( ",NOMBRE!$C$3,NOMBRE!$D$3,NOMBRE!$E$3,NOMBRE!$F$3,NOMBRE!$G$3,NOMBRE!$H$3," )")</f>
        <v>ESTABLECIMIENTO/ESTRATEGIA:   (  )</v>
      </c>
      <c r="E3" s="25"/>
    </row>
    <row r="4" spans="1:30" s="24" customFormat="1" ht="12.75" customHeight="1" x14ac:dyDescent="0.2">
      <c r="B4" s="23" t="str">
        <f>CONCATENATE("MES: ",NOMBRE!$B$6,"  ","( ",NOMBRE!$C$6,NOMBRE!$D$6," )")</f>
        <v>MES:   (  )</v>
      </c>
    </row>
    <row r="5" spans="1:30" s="24" customFormat="1" ht="12.75" customHeight="1" x14ac:dyDescent="0.2">
      <c r="B5" s="23" t="str">
        <f>CONCATENATE("AÑO: ",NOMBRE!$B$7)</f>
        <v>AÑO: 2025</v>
      </c>
    </row>
    <row r="6" spans="1:30" s="40" customFormat="1" ht="17.25" customHeight="1" x14ac:dyDescent="0.2">
      <c r="B6" s="23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30" s="40" customFormat="1" ht="36" customHeight="1" x14ac:dyDescent="0.2">
      <c r="B7" s="451" t="s">
        <v>123</v>
      </c>
      <c r="C7" s="451"/>
      <c r="D7" s="451"/>
      <c r="E7" s="451"/>
      <c r="F7" s="451"/>
      <c r="G7" s="451"/>
      <c r="H7" s="451"/>
      <c r="I7" s="41"/>
      <c r="J7" s="41"/>
      <c r="K7" s="41"/>
      <c r="L7" s="41"/>
      <c r="M7" s="41"/>
      <c r="N7" s="41"/>
      <c r="O7" s="41"/>
      <c r="P7" s="41"/>
      <c r="Q7" s="41"/>
    </row>
    <row r="8" spans="1:30" s="40" customFormat="1" ht="20.25" customHeight="1" x14ac:dyDescent="0.2">
      <c r="B8" s="157"/>
      <c r="C8" s="157"/>
      <c r="D8" s="157"/>
      <c r="E8" s="157"/>
      <c r="F8" s="157"/>
      <c r="G8" s="157"/>
      <c r="H8" s="157"/>
      <c r="I8" s="41"/>
      <c r="J8" s="41"/>
      <c r="K8" s="41"/>
      <c r="L8" s="41"/>
      <c r="M8" s="41"/>
      <c r="N8" s="41"/>
      <c r="O8" s="41"/>
      <c r="P8" s="41"/>
      <c r="Q8" s="41"/>
    </row>
    <row r="9" spans="1:30" ht="26.25" customHeight="1" x14ac:dyDescent="0.2">
      <c r="B9" s="459" t="s">
        <v>124</v>
      </c>
      <c r="C9" s="459"/>
      <c r="D9" s="459"/>
    </row>
    <row r="10" spans="1:30" ht="18" customHeight="1" x14ac:dyDescent="0.2">
      <c r="B10" s="100" t="s">
        <v>125</v>
      </c>
      <c r="C10" s="100" t="s">
        <v>126</v>
      </c>
      <c r="D10" s="335" t="s">
        <v>127</v>
      </c>
    </row>
    <row r="11" spans="1:30" ht="18" customHeight="1" x14ac:dyDescent="0.2">
      <c r="A11" s="665">
        <v>16090300</v>
      </c>
      <c r="B11" s="101" t="s">
        <v>128</v>
      </c>
      <c r="C11" s="189" t="s">
        <v>168</v>
      </c>
      <c r="D11" s="189" t="s">
        <v>169</v>
      </c>
      <c r="E11" s="42" t="str">
        <f>$AB11</f>
        <v xml:space="preserve">La cantidad distribuída de Sopa/Crema es distinta a la cantidad distribuída de Bebida Láctea.- </v>
      </c>
      <c r="AB11" s="329" t="str">
        <f>IF(C11&lt;&gt;D11,"La cantidad distribuída de Sopa/Crema es distinta a la cantidad distribuída de Bebida Láctea.- ","")</f>
        <v xml:space="preserve">La cantidad distribuída de Sopa/Crema es distinta a la cantidad distribuída de Bebida Láctea.- </v>
      </c>
      <c r="AD11" s="330">
        <f>IF($C11&lt;&gt;$D11,1,0)</f>
        <v>1</v>
      </c>
    </row>
    <row r="12" spans="1:30" ht="18" customHeight="1" x14ac:dyDescent="0.2">
      <c r="A12" s="665">
        <v>16200210</v>
      </c>
      <c r="B12" s="95" t="s">
        <v>129</v>
      </c>
      <c r="C12" s="189" t="s">
        <v>168</v>
      </c>
      <c r="D12" s="189" t="s">
        <v>169</v>
      </c>
      <c r="E12" s="42" t="str">
        <f t="shared" ref="E12:E15" si="0">$AB12</f>
        <v xml:space="preserve">La cantidad distribuída de Sopa/Crema es distinta a la cantidad distribuída de Bebida Láctea.- </v>
      </c>
      <c r="AB12" s="329" t="str">
        <f t="shared" ref="AB12:AB15" si="1">IF(C12&lt;&gt;D12,"La cantidad distribuída de Sopa/Crema es distinta a la cantidad distribuída de Bebida Láctea.- ","")</f>
        <v xml:space="preserve">La cantidad distribuída de Sopa/Crema es distinta a la cantidad distribuída de Bebida Láctea.- </v>
      </c>
      <c r="AD12" s="330">
        <f t="shared" ref="AD12:AD15" si="2">IF($C12&lt;&gt;$D12,1,0)</f>
        <v>1</v>
      </c>
    </row>
    <row r="13" spans="1:30" ht="20.399999999999999" x14ac:dyDescent="0.2">
      <c r="A13" s="665">
        <v>16090500</v>
      </c>
      <c r="B13" s="102" t="s">
        <v>130</v>
      </c>
      <c r="C13" s="189" t="s">
        <v>168</v>
      </c>
      <c r="D13" s="189" t="s">
        <v>169</v>
      </c>
      <c r="E13" s="42" t="str">
        <f t="shared" si="0"/>
        <v xml:space="preserve">La cantidad distribuída de Sopa/Crema es distinta a la cantidad distribuída de Bebida Láctea.- </v>
      </c>
      <c r="AB13" s="329" t="str">
        <f t="shared" si="1"/>
        <v xml:space="preserve">La cantidad distribuída de Sopa/Crema es distinta a la cantidad distribuída de Bebida Láctea.- </v>
      </c>
      <c r="AD13" s="330">
        <f t="shared" si="2"/>
        <v>1</v>
      </c>
    </row>
    <row r="14" spans="1:30" ht="18" customHeight="1" x14ac:dyDescent="0.2">
      <c r="A14" s="665">
        <v>16090600</v>
      </c>
      <c r="B14" s="96" t="s">
        <v>131</v>
      </c>
      <c r="C14" s="189" t="s">
        <v>168</v>
      </c>
      <c r="D14" s="189" t="s">
        <v>169</v>
      </c>
      <c r="E14" s="42" t="str">
        <f t="shared" si="0"/>
        <v xml:space="preserve">La cantidad distribuída de Sopa/Crema es distinta a la cantidad distribuída de Bebida Láctea.- </v>
      </c>
      <c r="AB14" s="329" t="str">
        <f>IF(C14&lt;&gt;D14,"La cantidad distribuída de Sopa/Crema es distinta a la cantidad distribuída de Bebida Láctea.- ","")</f>
        <v xml:space="preserve">La cantidad distribuída de Sopa/Crema es distinta a la cantidad distribuída de Bebida Láctea.- </v>
      </c>
      <c r="AD14" s="330">
        <f t="shared" si="2"/>
        <v>1</v>
      </c>
    </row>
    <row r="15" spans="1:30" ht="18" customHeight="1" x14ac:dyDescent="0.2">
      <c r="A15" s="665">
        <v>16090100</v>
      </c>
      <c r="B15" s="97" t="s">
        <v>132</v>
      </c>
      <c r="C15" s="189" t="s">
        <v>168</v>
      </c>
      <c r="D15" s="189" t="s">
        <v>169</v>
      </c>
      <c r="E15" s="42" t="str">
        <f t="shared" si="0"/>
        <v xml:space="preserve">La cantidad distribuída de Sopa/Crema es distinta a la cantidad distribuída de Bebida Láctea.- </v>
      </c>
      <c r="AB15" s="329" t="str">
        <f t="shared" si="1"/>
        <v xml:space="preserve">La cantidad distribuída de Sopa/Crema es distinta a la cantidad distribuída de Bebida Láctea.- </v>
      </c>
      <c r="AD15" s="330">
        <f t="shared" si="2"/>
        <v>1</v>
      </c>
    </row>
    <row r="16" spans="1:30" ht="18" customHeight="1" x14ac:dyDescent="0.2">
      <c r="A16" s="666"/>
      <c r="B16" s="103" t="s">
        <v>97</v>
      </c>
      <c r="C16" s="337">
        <f>SUM(C11:C15)</f>
        <v>0</v>
      </c>
      <c r="D16" s="336">
        <f>SUM(D11:D15)</f>
        <v>0</v>
      </c>
    </row>
    <row r="17" spans="1:30" ht="26.25" customHeight="1" x14ac:dyDescent="0.2">
      <c r="B17" s="170"/>
      <c r="C17" s="173"/>
      <c r="D17" s="174"/>
    </row>
    <row r="18" spans="1:30" ht="30" customHeight="1" x14ac:dyDescent="0.2">
      <c r="B18" s="459" t="s">
        <v>133</v>
      </c>
      <c r="C18" s="459"/>
      <c r="D18" s="459"/>
      <c r="E18" s="459"/>
      <c r="F18" s="40"/>
      <c r="G18" s="40"/>
      <c r="H18" s="40"/>
      <c r="I18" s="40"/>
      <c r="J18" s="40"/>
      <c r="K18" s="40"/>
      <c r="L18" s="40"/>
    </row>
    <row r="19" spans="1:30" ht="18" customHeight="1" x14ac:dyDescent="0.2">
      <c r="B19" s="452" t="s">
        <v>125</v>
      </c>
      <c r="C19" s="460" t="s">
        <v>134</v>
      </c>
      <c r="D19" s="461"/>
      <c r="E19" s="462"/>
    </row>
    <row r="20" spans="1:30" ht="18" customHeight="1" x14ac:dyDescent="0.2">
      <c r="B20" s="456"/>
      <c r="C20" s="180" t="s">
        <v>63</v>
      </c>
      <c r="D20" s="181" t="s">
        <v>135</v>
      </c>
      <c r="E20" s="182" t="s">
        <v>136</v>
      </c>
    </row>
    <row r="21" spans="1:30" ht="18" customHeight="1" x14ac:dyDescent="0.2">
      <c r="A21" s="665">
        <v>16100300</v>
      </c>
      <c r="B21" s="126" t="s">
        <v>137</v>
      </c>
      <c r="C21" s="127" t="s">
        <v>168</v>
      </c>
      <c r="D21" s="188" t="s">
        <v>169</v>
      </c>
      <c r="E21" s="189" t="s">
        <v>170</v>
      </c>
      <c r="F21" s="42" t="e">
        <f>$AB21</f>
        <v>#VALUE!</v>
      </c>
      <c r="AB21" s="329" t="e">
        <f>IF(((C11+D11)/2)&lt;&gt;((D21+E21))," No olvide que el Nº de personas que retiran debe ser igual al promedio de Kilos que retiran en Seccion A.","")</f>
        <v>#VALUE!</v>
      </c>
      <c r="AD21" s="330" t="e">
        <f>IF(((C11+D11)/2)&lt;&gt;((D21+E21)),1,0)</f>
        <v>#VALUE!</v>
      </c>
    </row>
    <row r="22" spans="1:30" ht="18" customHeight="1" x14ac:dyDescent="0.2">
      <c r="A22" s="665">
        <v>16200220</v>
      </c>
      <c r="B22" s="129" t="s">
        <v>129</v>
      </c>
      <c r="C22" s="130" t="s">
        <v>168</v>
      </c>
      <c r="D22" s="190" t="s">
        <v>169</v>
      </c>
      <c r="E22" s="191" t="s">
        <v>170</v>
      </c>
      <c r="F22" s="42" t="e">
        <f>$AB22</f>
        <v>#VALUE!</v>
      </c>
      <c r="AB22" s="329" t="e">
        <f t="shared" ref="AB22:AB25" si="3">IF(((C12+D12)/2)&lt;&gt;((D22+E22))," No olvide que el Nº de personas que retiran debe ser igual al promedio de Kilos que retiran en Seccion A.","")</f>
        <v>#VALUE!</v>
      </c>
      <c r="AD22" s="330" t="e">
        <f t="shared" ref="AD22:AD25" si="4">IF(((C12+D12)/2)&lt;&gt;((D22+E22)),1,0)</f>
        <v>#VALUE!</v>
      </c>
    </row>
    <row r="23" spans="1:30" ht="26.25" customHeight="1" x14ac:dyDescent="0.2">
      <c r="A23" s="665">
        <v>16100600</v>
      </c>
      <c r="B23" s="132" t="s">
        <v>130</v>
      </c>
      <c r="C23" s="130" t="s">
        <v>168</v>
      </c>
      <c r="D23" s="190" t="s">
        <v>169</v>
      </c>
      <c r="E23" s="192" t="s">
        <v>170</v>
      </c>
      <c r="F23" s="42" t="e">
        <f>$AB23</f>
        <v>#VALUE!</v>
      </c>
      <c r="AB23" s="329" t="e">
        <f t="shared" si="3"/>
        <v>#VALUE!</v>
      </c>
      <c r="AD23" s="330" t="e">
        <f t="shared" si="4"/>
        <v>#VALUE!</v>
      </c>
    </row>
    <row r="24" spans="1:30" ht="18" customHeight="1" x14ac:dyDescent="0.2">
      <c r="A24" s="665">
        <v>16100700</v>
      </c>
      <c r="B24" s="134" t="s">
        <v>131</v>
      </c>
      <c r="C24" s="135" t="s">
        <v>168</v>
      </c>
      <c r="D24" s="193" t="s">
        <v>169</v>
      </c>
      <c r="E24" s="192" t="s">
        <v>170</v>
      </c>
      <c r="F24" s="42" t="e">
        <f>$AB24</f>
        <v>#VALUE!</v>
      </c>
      <c r="AB24" s="329" t="e">
        <f t="shared" si="3"/>
        <v>#VALUE!</v>
      </c>
      <c r="AD24" s="330" t="e">
        <f t="shared" si="4"/>
        <v>#VALUE!</v>
      </c>
    </row>
    <row r="25" spans="1:30" ht="18" customHeight="1" x14ac:dyDescent="0.2">
      <c r="A25" s="665">
        <v>16100100</v>
      </c>
      <c r="B25" s="136" t="s">
        <v>132</v>
      </c>
      <c r="C25" s="137" t="s">
        <v>168</v>
      </c>
      <c r="D25" s="194" t="s">
        <v>169</v>
      </c>
      <c r="E25" s="189" t="s">
        <v>170</v>
      </c>
      <c r="F25" s="42" t="e">
        <f>$AB25</f>
        <v>#VALUE!</v>
      </c>
      <c r="AB25" s="329" t="e">
        <f t="shared" si="3"/>
        <v>#VALUE!</v>
      </c>
      <c r="AD25" s="330" t="e">
        <f t="shared" si="4"/>
        <v>#VALUE!</v>
      </c>
    </row>
    <row r="26" spans="1:30" ht="18" customHeight="1" x14ac:dyDescent="0.2">
      <c r="A26" s="666"/>
      <c r="B26" s="103" t="s">
        <v>97</v>
      </c>
      <c r="C26" s="146">
        <f>SUM(C21:C25)</f>
        <v>0</v>
      </c>
      <c r="D26" s="147">
        <f>SUM(D21:D25)</f>
        <v>0</v>
      </c>
      <c r="E26" s="145">
        <f>SUM(E21:E25)</f>
        <v>0</v>
      </c>
      <c r="F26" s="183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Y26" s="72"/>
      <c r="Z26" s="72"/>
      <c r="AA26" s="72"/>
      <c r="AB26" s="72"/>
      <c r="AC26" s="72"/>
      <c r="AD26" s="72"/>
    </row>
    <row r="27" spans="1:30" ht="22.5" customHeight="1" x14ac:dyDescent="0.2">
      <c r="B27" s="170"/>
      <c r="C27" s="171"/>
      <c r="D27" s="172"/>
      <c r="E27" s="172"/>
      <c r="F27" s="183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Y27" s="72"/>
      <c r="Z27" s="72"/>
      <c r="AA27" s="72"/>
      <c r="AB27" s="72"/>
      <c r="AC27" s="72"/>
      <c r="AD27" s="72"/>
    </row>
    <row r="28" spans="1:30" ht="25.5" customHeight="1" x14ac:dyDescent="0.2">
      <c r="B28" s="459" t="s">
        <v>138</v>
      </c>
      <c r="C28" s="459"/>
      <c r="D28" s="459"/>
      <c r="E28" s="459"/>
      <c r="F28" s="459"/>
      <c r="G28" s="459"/>
      <c r="H28" s="459"/>
      <c r="I28" s="459"/>
      <c r="J28" s="459"/>
      <c r="K28" s="459"/>
      <c r="L28" s="459"/>
    </row>
    <row r="29" spans="1:30" s="87" customFormat="1" ht="18" customHeight="1" x14ac:dyDescent="0.2">
      <c r="B29" s="452" t="s">
        <v>62</v>
      </c>
      <c r="C29" s="452" t="s">
        <v>139</v>
      </c>
      <c r="D29" s="468" t="s">
        <v>107</v>
      </c>
      <c r="E29" s="469"/>
      <c r="F29" s="452" t="s">
        <v>140</v>
      </c>
      <c r="G29" s="463" t="s">
        <v>109</v>
      </c>
      <c r="H29" s="464"/>
      <c r="I29" s="464"/>
      <c r="J29" s="464"/>
      <c r="K29" s="465"/>
      <c r="L29" s="452" t="s">
        <v>110</v>
      </c>
    </row>
    <row r="30" spans="1:30" s="87" customFormat="1" ht="18" customHeight="1" x14ac:dyDescent="0.2">
      <c r="B30" s="455"/>
      <c r="C30" s="455"/>
      <c r="D30" s="466" t="s">
        <v>111</v>
      </c>
      <c r="E30" s="457" t="s">
        <v>112</v>
      </c>
      <c r="F30" s="455"/>
      <c r="G30" s="369" t="s">
        <v>141</v>
      </c>
      <c r="H30" s="378" t="s">
        <v>114</v>
      </c>
      <c r="I30" s="352" t="s">
        <v>142</v>
      </c>
      <c r="J30" s="355" t="s">
        <v>116</v>
      </c>
      <c r="K30" s="356" t="s">
        <v>143</v>
      </c>
      <c r="L30" s="453"/>
    </row>
    <row r="31" spans="1:30" s="87" customFormat="1" ht="18" customHeight="1" x14ac:dyDescent="0.2">
      <c r="B31" s="456"/>
      <c r="C31" s="456"/>
      <c r="D31" s="467"/>
      <c r="E31" s="458"/>
      <c r="F31" s="456"/>
      <c r="G31" s="371"/>
      <c r="H31" s="379"/>
      <c r="I31" s="354"/>
      <c r="J31" s="357"/>
      <c r="K31" s="431"/>
      <c r="L31" s="454"/>
    </row>
    <row r="32" spans="1:30" ht="18" customHeight="1" x14ac:dyDescent="0.2">
      <c r="A32" s="666"/>
      <c r="B32" s="184" t="s">
        <v>126</v>
      </c>
      <c r="C32" s="152"/>
      <c r="D32" s="153"/>
      <c r="E32" s="154"/>
      <c r="F32" s="156">
        <f>SUM(C32:E32)</f>
        <v>0</v>
      </c>
      <c r="G32" s="239">
        <f>C16</f>
        <v>0</v>
      </c>
      <c r="H32" s="153"/>
      <c r="I32" s="139"/>
      <c r="J32" s="155"/>
      <c r="K32" s="150">
        <f>SUM(G32:J32)</f>
        <v>0</v>
      </c>
      <c r="L32" s="151">
        <f>F32-K32</f>
        <v>0</v>
      </c>
      <c r="M32" s="177"/>
      <c r="V32" s="70"/>
    </row>
    <row r="33" spans="1:22" ht="18" customHeight="1" x14ac:dyDescent="0.2">
      <c r="A33" s="666"/>
      <c r="B33" s="185" t="s">
        <v>144</v>
      </c>
      <c r="C33" s="213"/>
      <c r="D33" s="213"/>
      <c r="E33" s="214"/>
      <c r="F33" s="215">
        <f>SUM(C33:E33)</f>
        <v>0</v>
      </c>
      <c r="G33" s="215">
        <f>D16</f>
        <v>0</v>
      </c>
      <c r="H33" s="106"/>
      <c r="I33" s="216"/>
      <c r="J33" s="217"/>
      <c r="K33" s="218">
        <f>SUM(G33:J33)</f>
        <v>0</v>
      </c>
      <c r="L33" s="219">
        <f>F33-K33</f>
        <v>0</v>
      </c>
      <c r="M33" s="177"/>
      <c r="V33" s="70"/>
    </row>
    <row r="34" spans="1:22" ht="23.25" customHeight="1" x14ac:dyDescent="0.2">
      <c r="B34" s="186"/>
      <c r="C34" s="168"/>
      <c r="D34" s="168"/>
      <c r="E34" s="168"/>
      <c r="F34" s="166"/>
      <c r="G34" s="167"/>
      <c r="H34" s="167"/>
      <c r="I34" s="167"/>
      <c r="J34" s="167"/>
      <c r="K34" s="169"/>
      <c r="L34" s="169"/>
      <c r="M34" s="187"/>
      <c r="V34" s="70"/>
    </row>
    <row r="35" spans="1:22" ht="32.25" customHeight="1" x14ac:dyDescent="0.2">
      <c r="B35" s="470" t="s">
        <v>145</v>
      </c>
      <c r="C35" s="470"/>
      <c r="D35" s="470"/>
      <c r="E35" s="470"/>
      <c r="F35" s="470"/>
      <c r="G35" s="470"/>
      <c r="J35" s="37"/>
      <c r="K35" s="37"/>
      <c r="L35" s="37"/>
      <c r="M35" s="37"/>
      <c r="N35" s="37"/>
      <c r="O35" s="37"/>
      <c r="P35" s="37"/>
    </row>
    <row r="36" spans="1:22" ht="18" customHeight="1" x14ac:dyDescent="0.2">
      <c r="B36" s="452" t="s">
        <v>125</v>
      </c>
      <c r="C36" s="460" t="s">
        <v>134</v>
      </c>
      <c r="D36" s="461"/>
      <c r="E36" s="462"/>
      <c r="F36" s="37"/>
      <c r="G36" s="37"/>
      <c r="H36" s="37"/>
      <c r="I36" s="37"/>
    </row>
    <row r="37" spans="1:22" ht="18" customHeight="1" x14ac:dyDescent="0.2">
      <c r="B37" s="456"/>
      <c r="C37" s="180" t="s">
        <v>63</v>
      </c>
      <c r="D37" s="181" t="s">
        <v>135</v>
      </c>
      <c r="E37" s="182" t="s">
        <v>136</v>
      </c>
      <c r="F37" s="37"/>
      <c r="G37" s="37"/>
      <c r="H37" s="37"/>
      <c r="I37" s="37"/>
    </row>
    <row r="38" spans="1:22" ht="18" customHeight="1" x14ac:dyDescent="0.2">
      <c r="A38" s="667">
        <v>16200100</v>
      </c>
      <c r="B38" s="126" t="s">
        <v>137</v>
      </c>
      <c r="C38" s="127" t="s">
        <v>168</v>
      </c>
      <c r="D38" s="128" t="s">
        <v>169</v>
      </c>
      <c r="E38" s="142" t="s">
        <v>170</v>
      </c>
      <c r="F38" s="37"/>
      <c r="G38" s="37"/>
      <c r="H38" s="37"/>
      <c r="I38" s="37"/>
    </row>
    <row r="39" spans="1:22" ht="18" customHeight="1" x14ac:dyDescent="0.2">
      <c r="A39" s="667">
        <v>16200230</v>
      </c>
      <c r="B39" s="129" t="s">
        <v>129</v>
      </c>
      <c r="C39" s="130" t="s">
        <v>168</v>
      </c>
      <c r="D39" s="131" t="s">
        <v>169</v>
      </c>
      <c r="E39" s="121" t="s">
        <v>170</v>
      </c>
      <c r="F39" s="37"/>
      <c r="G39" s="37"/>
      <c r="H39" s="37"/>
      <c r="I39" s="37"/>
    </row>
    <row r="40" spans="1:22" ht="20.399999999999999" x14ac:dyDescent="0.2">
      <c r="A40" s="667">
        <v>16200240</v>
      </c>
      <c r="B40" s="132" t="s">
        <v>130</v>
      </c>
      <c r="C40" s="130" t="s">
        <v>168</v>
      </c>
      <c r="D40" s="131" t="s">
        <v>169</v>
      </c>
      <c r="E40" s="98" t="s">
        <v>170</v>
      </c>
      <c r="F40" s="37"/>
      <c r="G40" s="37"/>
      <c r="H40" s="37"/>
      <c r="I40" s="37"/>
    </row>
    <row r="41" spans="1:22" ht="18" customHeight="1" x14ac:dyDescent="0.2">
      <c r="A41" s="667">
        <v>16200200</v>
      </c>
      <c r="B41" s="134" t="s">
        <v>131</v>
      </c>
      <c r="C41" s="135" t="s">
        <v>168</v>
      </c>
      <c r="D41" s="133" t="s">
        <v>169</v>
      </c>
      <c r="E41" s="98" t="s">
        <v>170</v>
      </c>
      <c r="F41" s="37"/>
      <c r="G41" s="37"/>
      <c r="H41" s="37"/>
      <c r="I41" s="37"/>
    </row>
    <row r="42" spans="1:22" ht="18" customHeight="1" x14ac:dyDescent="0.2">
      <c r="A42" s="667">
        <v>16200250</v>
      </c>
      <c r="B42" s="136" t="s">
        <v>132</v>
      </c>
      <c r="C42" s="137" t="s">
        <v>168</v>
      </c>
      <c r="D42" s="99" t="s">
        <v>169</v>
      </c>
      <c r="E42" s="120" t="s">
        <v>170</v>
      </c>
      <c r="F42" s="37"/>
      <c r="G42" s="37"/>
      <c r="H42" s="37"/>
      <c r="I42" s="37"/>
    </row>
    <row r="43" spans="1:22" ht="18" customHeight="1" x14ac:dyDescent="0.2">
      <c r="A43" s="666"/>
      <c r="B43" s="103" t="s">
        <v>97</v>
      </c>
      <c r="C43" s="331">
        <f>SUM(C38:C42)</f>
        <v>0</v>
      </c>
      <c r="D43" s="147">
        <f>SUM(D38:D42)</f>
        <v>0</v>
      </c>
      <c r="E43" s="145">
        <f>SUM(E38:E42)</f>
        <v>0</v>
      </c>
      <c r="F43" s="37"/>
      <c r="G43" s="37"/>
      <c r="H43" s="37"/>
      <c r="I43" s="37"/>
    </row>
    <row r="48" spans="1:22" ht="9.9" customHeight="1" x14ac:dyDescent="0.2"/>
    <row r="49" spans="2:2" ht="9.9" customHeight="1" x14ac:dyDescent="0.2">
      <c r="B49" s="43"/>
    </row>
    <row r="50" spans="2:2" ht="9.9" customHeight="1" x14ac:dyDescent="0.2"/>
    <row r="51" spans="2:2" ht="9.9" customHeight="1" x14ac:dyDescent="0.2"/>
    <row r="52" spans="2:2" ht="9.9" customHeight="1" x14ac:dyDescent="0.2"/>
    <row r="53" spans="2:2" ht="9.9" customHeight="1" x14ac:dyDescent="0.2"/>
    <row r="54" spans="2:2" ht="9.9" customHeight="1" x14ac:dyDescent="0.2"/>
    <row r="55" spans="2:2" ht="9.9" customHeight="1" x14ac:dyDescent="0.2"/>
    <row r="56" spans="2:2" ht="9.9" customHeight="1" x14ac:dyDescent="0.2"/>
    <row r="57" spans="2:2" ht="9.9" customHeight="1" x14ac:dyDescent="0.2"/>
    <row r="58" spans="2:2" ht="9.9" customHeight="1" x14ac:dyDescent="0.2"/>
    <row r="59" spans="2:2" ht="9.9" customHeight="1" x14ac:dyDescent="0.2"/>
    <row r="60" spans="2:2" ht="9.9" customHeight="1" x14ac:dyDescent="0.2"/>
    <row r="61" spans="2:2" ht="9.9" customHeight="1" x14ac:dyDescent="0.2"/>
    <row r="62" spans="2:2" ht="9.9" customHeight="1" x14ac:dyDescent="0.2"/>
    <row r="63" spans="2:2" ht="9.9" customHeight="1" x14ac:dyDescent="0.2"/>
    <row r="64" spans="2:2" ht="9.9" customHeight="1" x14ac:dyDescent="0.2"/>
    <row r="65" spans="2:2" ht="9.9" customHeight="1" x14ac:dyDescent="0.2"/>
    <row r="66" spans="2:2" ht="9.9" customHeight="1" x14ac:dyDescent="0.2"/>
    <row r="67" spans="2:2" ht="9.9" customHeight="1" x14ac:dyDescent="0.2"/>
    <row r="68" spans="2:2" ht="9.9" customHeight="1" x14ac:dyDescent="0.2"/>
    <row r="69" spans="2:2" ht="9.9" customHeight="1" x14ac:dyDescent="0.2"/>
    <row r="70" spans="2:2" ht="9.9" hidden="1" customHeight="1" x14ac:dyDescent="0.2">
      <c r="B70" s="328">
        <f>SUM(C11:D15,D21:E25,C32:E33,H32:J33,D38:E42)</f>
        <v>0</v>
      </c>
    </row>
    <row r="71" spans="2:2" ht="9.9" hidden="1" customHeight="1" x14ac:dyDescent="0.2">
      <c r="B71" s="69" t="e">
        <f>SUM(AD11:AD25)</f>
        <v>#VALUE!</v>
      </c>
    </row>
    <row r="72" spans="2:2" ht="9.9" customHeight="1" x14ac:dyDescent="0.2"/>
    <row r="73" spans="2:2" ht="9.9" customHeight="1" x14ac:dyDescent="0.2"/>
    <row r="74" spans="2:2" ht="9.9" customHeight="1" x14ac:dyDescent="0.2"/>
    <row r="75" spans="2:2" ht="9.9" customHeight="1" x14ac:dyDescent="0.2"/>
    <row r="208" ht="13.5" customHeight="1" x14ac:dyDescent="0.2"/>
    <row r="209" ht="13.5" customHeight="1" x14ac:dyDescent="0.2"/>
    <row r="210" ht="13.5" customHeight="1" x14ac:dyDescent="0.2"/>
  </sheetData>
  <mergeCells count="22">
    <mergeCell ref="B36:B37"/>
    <mergeCell ref="G29:K29"/>
    <mergeCell ref="D30:D31"/>
    <mergeCell ref="B29:B31"/>
    <mergeCell ref="C29:C31"/>
    <mergeCell ref="D29:E29"/>
    <mergeCell ref="C36:E36"/>
    <mergeCell ref="B35:G35"/>
    <mergeCell ref="B7:H7"/>
    <mergeCell ref="L29:L31"/>
    <mergeCell ref="F29:F31"/>
    <mergeCell ref="E30:E31"/>
    <mergeCell ref="K30:K31"/>
    <mergeCell ref="G30:G31"/>
    <mergeCell ref="H30:H31"/>
    <mergeCell ref="I30:I31"/>
    <mergeCell ref="J30:J31"/>
    <mergeCell ref="B18:E18"/>
    <mergeCell ref="B9:D9"/>
    <mergeCell ref="B28:L28"/>
    <mergeCell ref="B19:B20"/>
    <mergeCell ref="C19:E19"/>
  </mergeCells>
  <phoneticPr fontId="25" type="noConversion"/>
  <dataValidations count="3">
    <dataValidation type="custom" operator="greaterThanOrEqual" allowBlank="1" showInputMessage="1" showErrorMessage="1" errorTitle="ERROR" error="Sólo se permiten enteros o mitades (Ej: 0,5)." sqref="C34:E34 C32:E32 G32:G34 H32:J32 H34:J34" xr:uid="{28E6D056-F9CB-4DD9-981A-5755F8D3E0E2}">
      <formula1>MOD(C32,0.5)=0</formula1>
    </dataValidation>
    <dataValidation type="whole" operator="greaterThanOrEqual" allowBlank="1" showInputMessage="1" showErrorMessage="1" errorTitle="ERROR" error="Sólo se permiten enteros." sqref="D21:E25 D38:E42" xr:uid="{041DBA23-B3DD-43DA-BE4D-ECD59038DDD4}">
      <formula1>0</formula1>
    </dataValidation>
    <dataValidation type="whole" operator="greaterThanOrEqual" allowBlank="1" showInputMessage="1" showErrorMessage="1" errorTitle="ERROR" error="Sólo se permiten números enteros." sqref="H33:J33 C33:E33 C11:D15" xr:uid="{CF731158-B017-49B5-9D4D-A09524904E38}">
      <formula1>0</formula1>
    </dataValidation>
  </dataValidations>
  <pageMargins left="0.75" right="0.75" top="1" bottom="1" header="0" footer="0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N120"/>
  <sheetViews>
    <sheetView showGridLines="0" zoomScaleNormal="100" workbookViewId="0">
      <selection activeCell="E13" sqref="E13"/>
    </sheetView>
  </sheetViews>
  <sheetFormatPr baseColWidth="10" defaultColWidth="11.44140625" defaultRowHeight="13.2" x14ac:dyDescent="0.25"/>
  <cols>
    <col min="1" max="2" width="1.88671875" customWidth="1"/>
    <col min="3" max="3" width="8.88671875" customWidth="1"/>
    <col min="4" max="4" width="39.33203125" customWidth="1"/>
    <col min="5" max="5" width="34" customWidth="1"/>
    <col min="6" max="6" width="27.109375" customWidth="1"/>
    <col min="7" max="7" width="71" customWidth="1"/>
    <col min="8" max="8" width="17.44140625" customWidth="1"/>
    <col min="11" max="11" width="0" hidden="1" customWidth="1"/>
    <col min="12" max="12" width="13.88671875" hidden="1" customWidth="1"/>
    <col min="13" max="14" width="14.109375" hidden="1" customWidth="1"/>
    <col min="15" max="17" width="14.109375" customWidth="1"/>
  </cols>
  <sheetData>
    <row r="1" spans="1:13" ht="18" customHeight="1" x14ac:dyDescent="0.3">
      <c r="A1" s="44"/>
      <c r="B1" s="44"/>
      <c r="C1" s="45" t="s">
        <v>146</v>
      </c>
      <c r="D1" s="46"/>
      <c r="E1" s="47"/>
      <c r="F1" s="48"/>
      <c r="G1" s="44"/>
      <c r="H1" s="44"/>
      <c r="I1" s="49"/>
      <c r="J1" s="49"/>
      <c r="K1" s="49"/>
      <c r="L1" s="49"/>
    </row>
    <row r="2" spans="1:13" ht="21" customHeight="1" x14ac:dyDescent="0.25">
      <c r="A2" s="44"/>
      <c r="B2" s="44"/>
      <c r="C2" s="50" t="s">
        <v>147</v>
      </c>
      <c r="D2" s="51"/>
      <c r="E2" s="52"/>
      <c r="F2" s="53"/>
      <c r="G2" s="44"/>
      <c r="H2" s="44"/>
      <c r="I2" s="49"/>
      <c r="J2" s="49"/>
      <c r="K2" s="49"/>
      <c r="L2" s="49"/>
    </row>
    <row r="3" spans="1:13" ht="21" customHeight="1" thickBot="1" x14ac:dyDescent="0.3">
      <c r="A3" s="44"/>
      <c r="B3" s="44"/>
      <c r="C3" s="54" t="s">
        <v>148</v>
      </c>
      <c r="D3" s="55"/>
      <c r="E3" s="56"/>
      <c r="F3" s="57"/>
      <c r="G3" s="44"/>
      <c r="H3" s="44"/>
      <c r="I3" s="49"/>
      <c r="J3" s="49"/>
      <c r="K3" s="49"/>
      <c r="L3" s="49"/>
    </row>
    <row r="4" spans="1:13" ht="42.75" customHeight="1" x14ac:dyDescent="0.25">
      <c r="A4" s="44"/>
      <c r="B4" s="44"/>
      <c r="C4" s="78" t="str">
        <f>CONCATENATE("ESTABLECIMIENTO/ESTRATEGIA: ",NOMBRE!B3," - ","( ",NOMBRE!C3,NOMBRE!D3,NOMBRE!E3,NOMBRE!F3,NOMBRE!G3,NOMBRE!H3," )")</f>
        <v>ESTABLECIMIENTO/ESTRATEGIA:  - (  )</v>
      </c>
      <c r="D4" s="44"/>
      <c r="E4" s="44"/>
      <c r="F4" s="44"/>
      <c r="G4" s="44"/>
      <c r="H4" s="44"/>
      <c r="I4" s="49"/>
      <c r="J4" s="49"/>
      <c r="K4" s="49"/>
      <c r="L4" s="49"/>
    </row>
    <row r="5" spans="1:13" ht="44.25" customHeight="1" x14ac:dyDescent="0.25">
      <c r="A5" s="44"/>
      <c r="B5" s="44"/>
      <c r="C5" s="44"/>
      <c r="D5" s="58" t="s">
        <v>149</v>
      </c>
      <c r="E5" s="59" t="s">
        <v>150</v>
      </c>
      <c r="F5" s="59" t="s">
        <v>151</v>
      </c>
      <c r="G5" s="59" t="s">
        <v>152</v>
      </c>
      <c r="H5" s="49"/>
      <c r="I5" s="49"/>
      <c r="J5" s="49"/>
      <c r="K5" s="49"/>
    </row>
    <row r="6" spans="1:13" ht="22.5" customHeight="1" x14ac:dyDescent="0.25">
      <c r="A6" s="44"/>
      <c r="B6" s="44"/>
      <c r="C6" s="44"/>
      <c r="D6" s="60" t="s">
        <v>153</v>
      </c>
      <c r="E6" s="61" t="str">
        <f>IF((NOMBRE!AG7)=0,"","SIN INFORMACIÓN")</f>
        <v>SIN INFORMACIÓN</v>
      </c>
      <c r="F6" s="62"/>
      <c r="G6" s="62"/>
      <c r="H6" s="49"/>
      <c r="I6" s="49"/>
      <c r="J6" s="49"/>
      <c r="K6" s="49"/>
      <c r="M6" t="s">
        <v>154</v>
      </c>
    </row>
    <row r="7" spans="1:13" ht="22.5" customHeight="1" x14ac:dyDescent="0.25">
      <c r="A7" s="44"/>
      <c r="B7" s="44"/>
      <c r="C7" s="44"/>
      <c r="D7" s="60" t="s">
        <v>155</v>
      </c>
      <c r="E7" s="61" t="str">
        <f>IF(('D15'!B110)=0,"SIN INFORMACIÓN","")</f>
        <v>SIN INFORMACIÓN</v>
      </c>
      <c r="F7" s="63"/>
      <c r="G7" s="64"/>
      <c r="H7" s="49"/>
      <c r="I7" s="49"/>
      <c r="J7" s="49"/>
      <c r="K7" s="49"/>
      <c r="M7" t="s">
        <v>156</v>
      </c>
    </row>
    <row r="8" spans="1:13" ht="22.5" customHeight="1" x14ac:dyDescent="0.25">
      <c r="A8" s="44"/>
      <c r="B8" s="44"/>
      <c r="C8" s="44"/>
      <c r="D8" s="60" t="s">
        <v>157</v>
      </c>
      <c r="E8" s="61" t="str">
        <f>IF(('D16'!B70)=0,"SIN INFORMACIÓN","")</f>
        <v>SIN INFORMACIÓN</v>
      </c>
      <c r="F8" s="63"/>
      <c r="G8" s="64"/>
      <c r="H8" s="49"/>
      <c r="I8" s="49"/>
      <c r="J8" s="49"/>
      <c r="K8" s="49"/>
      <c r="M8" t="s">
        <v>158</v>
      </c>
    </row>
    <row r="9" spans="1:13" ht="4.5" customHeight="1" x14ac:dyDescent="0.25">
      <c r="A9" s="44"/>
      <c r="B9" s="44"/>
      <c r="C9" s="44"/>
      <c r="D9" s="62"/>
      <c r="E9" s="62"/>
      <c r="F9" s="62"/>
      <c r="G9" s="62"/>
      <c r="H9" s="49"/>
      <c r="I9" s="49"/>
      <c r="J9" s="49"/>
      <c r="K9" s="49"/>
      <c r="M9" t="s">
        <v>159</v>
      </c>
    </row>
    <row r="10" spans="1:13" ht="22.5" customHeight="1" x14ac:dyDescent="0.25">
      <c r="A10" s="44"/>
      <c r="B10" s="44"/>
      <c r="C10" s="44"/>
      <c r="D10" s="60" t="s">
        <v>160</v>
      </c>
      <c r="E10" s="65">
        <f>COUNTIF(E6:E8,"SIN INFORMACIÓN")</f>
        <v>3</v>
      </c>
      <c r="F10" s="62"/>
      <c r="G10" s="62"/>
      <c r="H10" s="49"/>
      <c r="I10" s="49"/>
      <c r="J10" s="49"/>
      <c r="K10" s="49"/>
      <c r="M10" t="s">
        <v>161</v>
      </c>
    </row>
    <row r="11" spans="1:13" ht="22.5" customHeight="1" x14ac:dyDescent="0.25">
      <c r="A11" s="44"/>
      <c r="B11" s="44"/>
      <c r="C11" s="44"/>
      <c r="D11" s="60" t="s">
        <v>162</v>
      </c>
      <c r="E11" s="65" t="e">
        <f>+'D15'!C110</f>
        <v>#VALUE!</v>
      </c>
      <c r="F11" s="66"/>
      <c r="G11" s="62"/>
      <c r="H11" s="44"/>
      <c r="I11" s="49"/>
      <c r="J11" s="49"/>
      <c r="K11" s="49"/>
      <c r="L11" s="49"/>
    </row>
    <row r="12" spans="1:13" ht="22.5" customHeight="1" x14ac:dyDescent="0.25">
      <c r="A12" s="44"/>
      <c r="B12" s="44"/>
      <c r="C12" s="44"/>
      <c r="D12" s="60" t="s">
        <v>163</v>
      </c>
      <c r="E12" s="65" t="e">
        <f>+'D16'!B71</f>
        <v>#VALUE!</v>
      </c>
      <c r="F12" s="66"/>
      <c r="G12" s="62"/>
      <c r="H12" s="44"/>
      <c r="I12" s="49"/>
      <c r="J12" s="49"/>
      <c r="K12" s="49"/>
      <c r="L12" s="49"/>
    </row>
    <row r="13" spans="1:13" ht="13.8" x14ac:dyDescent="0.25">
      <c r="A13" s="44"/>
      <c r="B13" s="44"/>
      <c r="C13" s="44"/>
      <c r="D13" s="60" t="s">
        <v>164</v>
      </c>
      <c r="E13" s="65" t="e">
        <f>SUM(E10:E12)</f>
        <v>#VALUE!</v>
      </c>
      <c r="F13" s="44"/>
      <c r="G13" s="44"/>
      <c r="H13" s="44"/>
      <c r="I13" s="49"/>
      <c r="J13" s="49"/>
      <c r="K13" s="49"/>
      <c r="L13" s="49"/>
    </row>
    <row r="14" spans="1:13" x14ac:dyDescent="0.25">
      <c r="A14" s="44"/>
      <c r="B14" s="44"/>
      <c r="C14" s="44"/>
      <c r="D14" s="44"/>
      <c r="E14" s="44"/>
      <c r="F14" s="44"/>
      <c r="G14" s="44"/>
      <c r="H14" s="44"/>
      <c r="I14" s="49"/>
      <c r="J14" s="49"/>
      <c r="K14" s="49"/>
      <c r="L14" s="49"/>
    </row>
    <row r="15" spans="1:1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</row>
    <row r="16" spans="1:13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</row>
    <row r="17" spans="1:12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</row>
    <row r="18" spans="1:12" x14ac:dyDescent="0.25">
      <c r="A18" s="49"/>
      <c r="B18" s="49"/>
      <c r="C18" s="49"/>
      <c r="D18" s="49"/>
      <c r="E18" s="67">
        <f>NOMBRE!AG7</f>
        <v>3</v>
      </c>
      <c r="F18" s="49"/>
      <c r="G18" s="49"/>
      <c r="H18" s="49"/>
      <c r="I18" s="49"/>
      <c r="J18" s="49"/>
      <c r="K18" s="49"/>
      <c r="L18" s="49"/>
    </row>
    <row r="19" spans="1:12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</row>
    <row r="20" spans="1:12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</row>
    <row r="24" spans="1:12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</row>
    <row r="25" spans="1:12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</row>
    <row r="26" spans="1:12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</row>
    <row r="27" spans="1:12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</row>
    <row r="28" spans="1:12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</row>
    <row r="29" spans="1:12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</row>
    <row r="30" spans="1:12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</row>
    <row r="31" spans="1:12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</row>
    <row r="32" spans="1:12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</row>
    <row r="33" spans="1:12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</row>
    <row r="34" spans="1:12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</row>
    <row r="35" spans="1:12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</row>
    <row r="36" spans="1:12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</row>
    <row r="37" spans="1:12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</row>
    <row r="38" spans="1:12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</row>
    <row r="39" spans="1:12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</row>
    <row r="40" spans="1:12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</row>
    <row r="41" spans="1:12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</row>
    <row r="42" spans="1:12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</row>
    <row r="43" spans="1:12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</row>
    <row r="100" spans="5:5" hidden="1" x14ac:dyDescent="0.25">
      <c r="E100" s="71">
        <f>NOMBRE!AG7</f>
        <v>3</v>
      </c>
    </row>
    <row r="119" ht="10.199999999999999" customHeight="1" x14ac:dyDescent="0.25"/>
    <row r="120" s="68" customFormat="1" hidden="1" x14ac:dyDescent="0.25"/>
  </sheetData>
  <phoneticPr fontId="25" type="noConversion"/>
  <dataValidations disablePrompts="1" count="1">
    <dataValidation type="list" allowBlank="1" showInputMessage="1" showErrorMessage="1" sqref="F7:F8" xr:uid="{00000000-0002-0000-0300-000000000000}">
      <formula1>$M$6:$M$10</formula1>
    </dataValidation>
  </dataValidations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H14"/>
  <sheetViews>
    <sheetView showGridLines="0" zoomScaleNormal="100" workbookViewId="0">
      <selection activeCell="B2" sqref="B2:H2"/>
    </sheetView>
  </sheetViews>
  <sheetFormatPr baseColWidth="10" defaultColWidth="11.44140625" defaultRowHeight="13.2" x14ac:dyDescent="0.25"/>
  <cols>
    <col min="1" max="1" width="13.109375" customWidth="1"/>
    <col min="2" max="2" width="55.5546875" customWidth="1"/>
    <col min="3" max="3" width="1.6640625" customWidth="1"/>
    <col min="4" max="4" width="2" customWidth="1"/>
    <col min="5" max="5" width="5.5546875" customWidth="1"/>
    <col min="6" max="6" width="4.88671875" customWidth="1"/>
    <col min="8" max="8" width="8" customWidth="1"/>
  </cols>
  <sheetData>
    <row r="1" spans="2:8" ht="13.8" thickBot="1" x14ac:dyDescent="0.3"/>
    <row r="2" spans="2:8" ht="45" customHeight="1" thickBot="1" x14ac:dyDescent="0.3">
      <c r="B2" s="471" t="s">
        <v>165</v>
      </c>
      <c r="C2" s="472"/>
      <c r="D2" s="472"/>
      <c r="E2" s="472"/>
      <c r="F2" s="472"/>
      <c r="G2" s="472"/>
      <c r="H2" s="473"/>
    </row>
    <row r="3" spans="2:8" ht="16.2" x14ac:dyDescent="0.3">
      <c r="B3" s="159"/>
      <c r="C3" s="159"/>
      <c r="D3" s="159"/>
      <c r="E3" s="159"/>
      <c r="F3" s="159"/>
      <c r="G3" s="159"/>
      <c r="H3" s="159"/>
    </row>
    <row r="4" spans="2:8" ht="16.2" x14ac:dyDescent="0.3">
      <c r="B4" s="79" t="str">
        <f>CONCATENATE("ESTABLECIMIENTO/ESTRATEGIA: ",NOMBRE!B3," - ","( ",NOMBRE!C3,NOMBRE!D3,NOMBRE!E3,NOMBRE!F3,NOMBRE!G3,NOMBRE!H3,NOMBRE!I3," )")</f>
        <v>ESTABLECIMIENTO/ESTRATEGIA:  - ( Falta Cód. Estab. )</v>
      </c>
      <c r="C4" s="159"/>
      <c r="D4" s="159"/>
      <c r="E4" s="159"/>
      <c r="F4" s="159"/>
      <c r="G4" s="159"/>
      <c r="H4" s="159"/>
    </row>
    <row r="5" spans="2:8" ht="16.2" x14ac:dyDescent="0.3">
      <c r="B5" s="159"/>
      <c r="C5" s="159"/>
      <c r="D5" s="159"/>
      <c r="E5" s="159"/>
      <c r="F5" s="159"/>
      <c r="G5" s="159"/>
      <c r="H5" s="159"/>
    </row>
    <row r="6" spans="2:8" ht="16.8" thickBot="1" x14ac:dyDescent="0.35">
      <c r="B6" s="159"/>
      <c r="C6" s="159"/>
      <c r="D6" s="159"/>
      <c r="E6" s="159"/>
      <c r="F6" s="159"/>
      <c r="G6" s="159"/>
      <c r="H6" s="159"/>
    </row>
    <row r="7" spans="2:8" ht="30.75" customHeight="1" thickBot="1" x14ac:dyDescent="0.35">
      <c r="B7" s="158" t="s">
        <v>166</v>
      </c>
      <c r="C7" s="159"/>
      <c r="D7" s="159"/>
      <c r="E7" s="160"/>
      <c r="F7" s="161"/>
      <c r="G7" s="161"/>
      <c r="H7" s="162"/>
    </row>
    <row r="8" spans="2:8" ht="16.2" x14ac:dyDescent="0.3">
      <c r="B8" s="159"/>
      <c r="C8" s="159"/>
      <c r="D8" s="159"/>
      <c r="E8" s="159"/>
      <c r="F8" s="159"/>
      <c r="G8" s="159"/>
      <c r="H8" s="159"/>
    </row>
    <row r="9" spans="2:8" ht="7.5" customHeight="1" thickBot="1" x14ac:dyDescent="0.35">
      <c r="B9" s="159"/>
      <c r="C9" s="159"/>
      <c r="D9" s="159"/>
      <c r="E9" s="159"/>
      <c r="F9" s="159"/>
      <c r="G9" s="159"/>
      <c r="H9" s="159"/>
    </row>
    <row r="10" spans="2:8" ht="26.25" customHeight="1" x14ac:dyDescent="0.25">
      <c r="B10" s="474" t="e">
        <f>IF(Control!E13&gt;0,"ANTES DE EJECUTAR SUS MACROS REVISE LA HOJA CONTROL, EXISTEN ERRORES QUE DEBE CORREGIR","")</f>
        <v>#VALUE!</v>
      </c>
      <c r="C10" s="475"/>
      <c r="D10" s="475"/>
      <c r="E10" s="475"/>
      <c r="F10" s="475"/>
      <c r="G10" s="475"/>
      <c r="H10" s="476"/>
    </row>
    <row r="11" spans="2:8" ht="26.25" customHeight="1" thickBot="1" x14ac:dyDescent="0.3">
      <c r="B11" s="477"/>
      <c r="C11" s="478"/>
      <c r="D11" s="478"/>
      <c r="E11" s="478"/>
      <c r="F11" s="478"/>
      <c r="G11" s="478"/>
      <c r="H11" s="479"/>
    </row>
    <row r="12" spans="2:8" ht="16.2" x14ac:dyDescent="0.3">
      <c r="B12" s="159"/>
      <c r="C12" s="159"/>
      <c r="D12" s="159"/>
      <c r="E12" s="159"/>
      <c r="F12" s="159"/>
      <c r="G12" s="159"/>
      <c r="H12" s="159"/>
    </row>
    <row r="13" spans="2:8" ht="16.2" x14ac:dyDescent="0.3">
      <c r="B13" s="159"/>
      <c r="C13" s="159"/>
      <c r="D13" s="159"/>
      <c r="E13" s="159"/>
      <c r="F13" s="159"/>
      <c r="G13" s="159"/>
      <c r="H13" s="159"/>
    </row>
    <row r="14" spans="2:8" ht="16.2" x14ac:dyDescent="0.3">
      <c r="B14" s="163" t="s">
        <v>167</v>
      </c>
      <c r="C14" s="159"/>
      <c r="D14" s="159"/>
      <c r="E14" s="159"/>
      <c r="F14" s="159"/>
      <c r="G14" s="159"/>
      <c r="H14" s="159"/>
    </row>
  </sheetData>
  <mergeCells count="2">
    <mergeCell ref="B2:H2"/>
    <mergeCell ref="B10:H11"/>
  </mergeCells>
  <phoneticPr fontId="25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PALDAARCHIVO">
                <anchor moveWithCells="1" sizeWithCells="1">
                  <from>
                    <xdr:col>4</xdr:col>
                    <xdr:colOff>68580</xdr:colOff>
                    <xdr:row>6</xdr:row>
                    <xdr:rowOff>68580</xdr:rowOff>
                  </from>
                  <to>
                    <xdr:col>7</xdr:col>
                    <xdr:colOff>480060</xdr:colOff>
                    <xdr:row>6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D15</vt:lpstr>
      <vt:lpstr>D16</vt:lpstr>
      <vt:lpstr>Control</vt:lpstr>
      <vt:lpstr>MACROS</vt:lpstr>
    </vt:vector>
  </TitlesOfParts>
  <Manager/>
  <Company>Propietario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Carmen Gloria Sepulveda</cp:lastModifiedBy>
  <cp:revision/>
  <dcterms:created xsi:type="dcterms:W3CDTF">2012-01-06T18:23:03Z</dcterms:created>
  <dcterms:modified xsi:type="dcterms:W3CDTF">2025-02-25T14:52:58Z</dcterms:modified>
  <cp:category/>
  <cp:contentStatus/>
</cp:coreProperties>
</file>